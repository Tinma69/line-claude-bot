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配布管理" state="visible" r:id="rId4"/>
    <sheet sheetId="2" name="進捗サマリ" state="visible" r:id="rId5"/>
    <sheet sheetId="3" name="店舗マスタ17店" state="visible" r:id="rId6"/>
    <sheet sheetId="4" name="建物リスト投函向け" state="visible" r:id="rId7"/>
    <sheet sheetId="5" name="配布計画3000枚" state="visible" r:id="rId8"/>
    <sheet sheetId="6" name="今日2000枚_重点店舗" state="visible" r:id="rId9"/>
    <sheet sheetId="7" name="残り1000枚" state="visible" r:id="rId10"/>
    <sheet sheetId="8" name="昨日の配布実績" state="visible" r:id="rId11"/>
  </sheets>
  <calcPr calcId="171027"/>
</workbook>
</file>

<file path=xl/sharedStrings.xml><?xml version="1.0" encoding="utf-8"?>
<sst xmlns="http://schemas.openxmlformats.org/spreadsheetml/2006/main" count="1960" uniqueCount="624">
  <si>
    <t>おすそわけ ポスティング区割り（高槻17店・徒歩10分=800m / 15分=1200m）</t>
  </si>
  <si>
    <t>クラスター</t>
  </si>
  <si>
    <t>優先</t>
  </si>
  <si>
    <t>最寄り登録店</t>
  </si>
  <si>
    <t>配布エリア(町丁目)</t>
  </si>
  <si>
    <t>圏内目安</t>
  </si>
  <si>
    <t>想定マンション密度</t>
  </si>
  <si>
    <t>担当者</t>
  </si>
  <si>
    <t>配布予定日</t>
  </si>
  <si>
    <t>配布状況</t>
  </si>
  <si>
    <t>備考</t>
  </si>
  <si>
    <t>A</t>
  </si>
  <si>
    <t>A 高槻駅(7店)</t>
  </si>
  <si>
    <t>芥川町2丁目</t>
  </si>
  <si>
    <t>徒歩10分(800m)</t>
  </si>
  <si>
    <t>高</t>
  </si>
  <si>
    <t/>
  </si>
  <si>
    <t>未</t>
  </si>
  <si>
    <t>ビーチアイランド/マウンテン直近・最重要</t>
  </si>
  <si>
    <t>芥川町1丁目</t>
  </si>
  <si>
    <t>芥川町3丁目</t>
  </si>
  <si>
    <t>芥川町4丁目</t>
  </si>
  <si>
    <t>城北町1丁目</t>
  </si>
  <si>
    <t>ワイン食堂バルバ</t>
  </si>
  <si>
    <t>城北町2丁目</t>
  </si>
  <si>
    <t>北園町</t>
  </si>
  <si>
    <t>ピケ/レモンド</t>
  </si>
  <si>
    <t>高槻町</t>
  </si>
  <si>
    <t>BAR椿</t>
  </si>
  <si>
    <t>松原町</t>
  </si>
  <si>
    <t>炒飯91kuppin</t>
  </si>
  <si>
    <t>白梅町</t>
  </si>
  <si>
    <t>駅前マンション密</t>
  </si>
  <si>
    <t>紺屋町</t>
  </si>
  <si>
    <t>大手町</t>
  </si>
  <si>
    <t>古曽部町1丁目</t>
  </si>
  <si>
    <t>中</t>
  </si>
  <si>
    <t>古曽部町2丁目</t>
  </si>
  <si>
    <t>出丸町</t>
  </si>
  <si>
    <t>徒歩10〜15分(1200m)</t>
  </si>
  <si>
    <t>京口町</t>
  </si>
  <si>
    <t>城内町</t>
  </si>
  <si>
    <t>野見町</t>
  </si>
  <si>
    <t>天神町</t>
  </si>
  <si>
    <t>桃園町</t>
  </si>
  <si>
    <t>八丁畷町</t>
  </si>
  <si>
    <t>千歳町</t>
  </si>
  <si>
    <t>E</t>
  </si>
  <si>
    <t>E 富田(2店)</t>
  </si>
  <si>
    <t>富田町1丁目</t>
  </si>
  <si>
    <t>珈琲館松屋・団地多</t>
  </si>
  <si>
    <t>富田町2丁目</t>
  </si>
  <si>
    <t>富田町3丁目</t>
  </si>
  <si>
    <t>富田町4丁目</t>
  </si>
  <si>
    <t>富田町5丁目</t>
  </si>
  <si>
    <t>富田町6丁目</t>
  </si>
  <si>
    <t>富田丘町</t>
  </si>
  <si>
    <t>PEEKABOO</t>
  </si>
  <si>
    <t>昭和台町1丁目</t>
  </si>
  <si>
    <t>昭和台町2丁目</t>
  </si>
  <si>
    <t>北昭和台町</t>
  </si>
  <si>
    <t>緑町</t>
  </si>
  <si>
    <t>栄町</t>
  </si>
  <si>
    <t>D</t>
  </si>
  <si>
    <t>D 津之江(2店)</t>
  </si>
  <si>
    <t>津之江町1丁目</t>
  </si>
  <si>
    <t>anpan/LUCCA直近</t>
  </si>
  <si>
    <t>津之江町2丁目</t>
  </si>
  <si>
    <t>津之江町3丁目</t>
  </si>
  <si>
    <t>辻子1丁目</t>
  </si>
  <si>
    <t>辻子2丁目</t>
  </si>
  <si>
    <t>辻子3丁目</t>
  </si>
  <si>
    <t>城西町</t>
  </si>
  <si>
    <t>深沢町</t>
  </si>
  <si>
    <t>低</t>
  </si>
  <si>
    <t>F</t>
  </si>
  <si>
    <t>F 土室・氷室(3店)</t>
  </si>
  <si>
    <t>土室町</t>
  </si>
  <si>
    <t>パティシエ コウタロウ</t>
  </si>
  <si>
    <t>上土室</t>
  </si>
  <si>
    <t>料理家三</t>
  </si>
  <si>
    <t>氷室町2丁目</t>
  </si>
  <si>
    <t>Taps BURGER</t>
  </si>
  <si>
    <t>氷室町1丁目</t>
  </si>
  <si>
    <t>氷室町3丁目</t>
  </si>
  <si>
    <t>宮田町1丁目</t>
  </si>
  <si>
    <t>分譲・賃貸多め＝優先</t>
  </si>
  <si>
    <t>宮田町2丁目</t>
  </si>
  <si>
    <t>別所新町</t>
  </si>
  <si>
    <t>川添1丁目</t>
  </si>
  <si>
    <t>川添2丁目</t>
  </si>
  <si>
    <t>大畑町</t>
  </si>
  <si>
    <t>C</t>
  </si>
  <si>
    <t>C 高垣(1店)</t>
  </si>
  <si>
    <t>高垣町</t>
  </si>
  <si>
    <t>Bake House Nagomi</t>
  </si>
  <si>
    <t>城南町</t>
  </si>
  <si>
    <t>登町</t>
  </si>
  <si>
    <t>紫町</t>
  </si>
  <si>
    <t>宮野町</t>
  </si>
  <si>
    <t>明田町</t>
  </si>
  <si>
    <t>B</t>
  </si>
  <si>
    <t>B 南平台(2店)</t>
  </si>
  <si>
    <t>南平台1丁目</t>
  </si>
  <si>
    <t>づぼら食堂</t>
  </si>
  <si>
    <t>南平台2丁目</t>
  </si>
  <si>
    <t>南平台3丁目</t>
  </si>
  <si>
    <t>南平台4丁目</t>
  </si>
  <si>
    <t>ベーカリーレヴェイユ</t>
  </si>
  <si>
    <t>南平台5丁目</t>
  </si>
  <si>
    <t>別所本町</t>
  </si>
  <si>
    <t>古曽部町3丁目</t>
  </si>
  <si>
    <t>古曽部町4丁目</t>
  </si>
  <si>
    <t>宮之川原1丁目</t>
  </si>
  <si>
    <t>宮之川原2丁目</t>
  </si>
  <si>
    <t>クラスター別 進捗</t>
  </si>
  <si>
    <t>コード</t>
  </si>
  <si>
    <t>エリア</t>
  </si>
  <si>
    <t>対象町丁目数</t>
  </si>
  <si>
    <t>配布済</t>
  </si>
  <si>
    <t>進捗率</t>
  </si>
  <si>
    <t>高槻駅 中心・北西</t>
  </si>
  <si>
    <t>富田・摂津富田駅</t>
  </si>
  <si>
    <t>津之江</t>
  </si>
  <si>
    <t>土室・上土室・氷室</t>
  </si>
  <si>
    <t>高垣（阪急高槻市駅南）</t>
  </si>
  <si>
    <t>南平台（北部・山手）</t>
  </si>
  <si>
    <t>計</t>
  </si>
  <si>
    <t>—</t>
  </si>
  <si>
    <t>#</t>
  </si>
  <si>
    <t>店名</t>
  </si>
  <si>
    <t>住所</t>
  </si>
  <si>
    <t>緯度</t>
  </si>
  <si>
    <t>経度</t>
  </si>
  <si>
    <t>炒飯専門店91kuppin</t>
  </si>
  <si>
    <t>高槻市松原町7-4</t>
  </si>
  <si>
    <t>ピケのチーズケーキ屋</t>
  </si>
  <si>
    <t>高槻市北園町13-23</t>
  </si>
  <si>
    <t>レモンド</t>
  </si>
  <si>
    <t>高槻市北園町18-1</t>
  </si>
  <si>
    <t>BAR 椿</t>
  </si>
  <si>
    <t>高槻市高槻町11-21</t>
  </si>
  <si>
    <t>高槻市城北町1-14-28</t>
  </si>
  <si>
    <t>ベーカリー ビーチアイランド高槻</t>
  </si>
  <si>
    <t>高槻市芥川町2-16-5</t>
  </si>
  <si>
    <t>自家焙煎コーヒー マウンテン</t>
  </si>
  <si>
    <t>高槻市芥川町2-8-21</t>
  </si>
  <si>
    <t>anpan</t>
  </si>
  <si>
    <t>高槻市津之江町1-60-10</t>
  </si>
  <si>
    <t>LUCCA</t>
  </si>
  <si>
    <t>高槻市津之江町1-39-16</t>
  </si>
  <si>
    <t>Bake House Nagomi〜和〜</t>
  </si>
  <si>
    <t>高槻市高垣町4-4</t>
  </si>
  <si>
    <t>高槻市南平台1-2-54</t>
  </si>
  <si>
    <t>高槻市南平台4-3-6</t>
  </si>
  <si>
    <t>珈琲館松屋</t>
  </si>
  <si>
    <t>高槻市富田町1-13-22</t>
  </si>
  <si>
    <t>高槻市富田丘町6-14</t>
  </si>
  <si>
    <t>Taps BURGER SHOP</t>
  </si>
  <si>
    <t>高槻市氷室町2-37-10</t>
  </si>
  <si>
    <t>高槻市上土室5-34-1</t>
  </si>
  <si>
    <t>高槻市土室町9-5</t>
  </si>
  <si>
    <t>ポスティング向き 集合住宅リスト（高槻6エリア全／団地・古め大型中心。高級タワー/オートロック系は除外済）</t>
  </si>
  <si>
    <t>町丁目</t>
  </si>
  <si>
    <t>建物名</t>
  </si>
  <si>
    <t>総戸数</t>
  </si>
  <si>
    <t>出典</t>
  </si>
  <si>
    <t>古曽部町</t>
  </si>
  <si>
    <t>高槻スカイハイツ</t>
  </si>
  <si>
    <t>古曽部町2-10-10</t>
  </si>
  <si>
    <t>self-in</t>
  </si>
  <si>
    <t>ニチメン高槻グランドハイツ</t>
  </si>
  <si>
    <t>古曽部町2-15-1</t>
  </si>
  <si>
    <t>メゾン高槻古曽部</t>
  </si>
  <si>
    <t>古曽部町2-6-1</t>
  </si>
  <si>
    <t>高槻ビューハイツ槻の木</t>
  </si>
  <si>
    <t>古曽部町2-14-10</t>
  </si>
  <si>
    <t>ライオンズ高槻古曽部</t>
  </si>
  <si>
    <t>古曽部町2-29</t>
  </si>
  <si>
    <t>レオ高槻</t>
  </si>
  <si>
    <t>古曽部町2-15-8</t>
  </si>
  <si>
    <t>城北町</t>
  </si>
  <si>
    <t>ドゥーシェ高槻</t>
  </si>
  <si>
    <t>城北町2-7-7</t>
  </si>
  <si>
    <t>マンションレビュー</t>
  </si>
  <si>
    <t>アルス高槻</t>
  </si>
  <si>
    <t>古曽部町1-8-4</t>
  </si>
  <si>
    <t>ファミール高槻フェリーク</t>
  </si>
  <si>
    <t>松原町4-5</t>
  </si>
  <si>
    <t>アソシア高槻 St-1</t>
  </si>
  <si>
    <t>城北町1-1-2</t>
  </si>
  <si>
    <t>クラルテ高槻北園町</t>
  </si>
  <si>
    <t>北園町2-3</t>
  </si>
  <si>
    <t>グランアッシュ高槻北園町</t>
  </si>
  <si>
    <t>北園町9-9</t>
  </si>
  <si>
    <t>芥川町</t>
  </si>
  <si>
    <t>ザ・ガーデンスイート（芥川町）</t>
  </si>
  <si>
    <t>芥川町4-6-23</t>
  </si>
  <si>
    <t>マンションレビュー/スマイティ</t>
  </si>
  <si>
    <t>グランドール高槻</t>
  </si>
  <si>
    <t>芥川町2-13-26</t>
  </si>
  <si>
    <t>プレディア高槻北園町</t>
  </si>
  <si>
    <t>北園町4-8</t>
  </si>
  <si>
    <t>ファミール高槻北園町</t>
  </si>
  <si>
    <t>北園町2-21</t>
  </si>
  <si>
    <t>JOY&amp;コーポ芥川</t>
  </si>
  <si>
    <t>芥川町2-24-5</t>
  </si>
  <si>
    <t>高槻北園町アーバンコンフォート</t>
  </si>
  <si>
    <t>北園町4-1</t>
  </si>
  <si>
    <t>トレンディア高槻</t>
  </si>
  <si>
    <t>芥川町1-13-19</t>
  </si>
  <si>
    <t>藤和シティホームズ高槻駅前</t>
  </si>
  <si>
    <t>古曽部町1-2-20</t>
  </si>
  <si>
    <t>セレブ高槻北園町</t>
  </si>
  <si>
    <t>北園町13-32</t>
  </si>
  <si>
    <t>シャトウ高槻</t>
  </si>
  <si>
    <t>大手町4-21</t>
  </si>
  <si>
    <t>三井住友トラスト</t>
  </si>
  <si>
    <t>ハイツ大手町2</t>
  </si>
  <si>
    <t>大手町3-18</t>
  </si>
  <si>
    <t>メゾン高槻</t>
  </si>
  <si>
    <t>芥川町4-5-18</t>
  </si>
  <si>
    <t>ハイツ大手町1</t>
  </si>
  <si>
    <t>大手町3-19</t>
  </si>
  <si>
    <t>富田町1</t>
  </si>
  <si>
    <t>ライオンズマンション高槻</t>
  </si>
  <si>
    <t>富田町1-7-7</t>
  </si>
  <si>
    <t>self-in/マンションマーケット</t>
  </si>
  <si>
    <t>高槻セントポリア</t>
  </si>
  <si>
    <t>栄町4丁目</t>
  </si>
  <si>
    <t>東急リバブル</t>
  </si>
  <si>
    <t>翠が丘団地（1〜2号棟）</t>
  </si>
  <si>
    <t>富田町1-32-7</t>
  </si>
  <si>
    <t>コスモ高槻センターコート</t>
  </si>
  <si>
    <t>富田町1-14-9</t>
  </si>
  <si>
    <t>ユニハイム高槻富田丘</t>
  </si>
  <si>
    <t>富田丘町13-15</t>
  </si>
  <si>
    <t>コスモ高槻パークステージ</t>
  </si>
  <si>
    <t>富田町1-30-21</t>
  </si>
  <si>
    <t>ハイム富田</t>
  </si>
  <si>
    <t>富田町1-31-1</t>
  </si>
  <si>
    <t>ユニーブル高槻富田丘</t>
  </si>
  <si>
    <t>富田丘町9-3</t>
  </si>
  <si>
    <t>マンション緑町</t>
  </si>
  <si>
    <t>緑町17-14</t>
  </si>
  <si>
    <t>LIFULL HOME'S</t>
  </si>
  <si>
    <t>昭和台町</t>
  </si>
  <si>
    <t>プレアール昭和台</t>
  </si>
  <si>
    <t>昭和台町1-4-10</t>
  </si>
  <si>
    <t>富田町6</t>
  </si>
  <si>
    <t>ウェルシーコート富田</t>
  </si>
  <si>
    <t>富田町6-15-2</t>
  </si>
  <si>
    <t>パスコマンション高槻壱番館</t>
  </si>
  <si>
    <t>マンション大全集</t>
  </si>
  <si>
    <t>パスコマンション高槻弐番館</t>
  </si>
  <si>
    <t>グランディール栄町</t>
  </si>
  <si>
    <t>栄町2丁目</t>
  </si>
  <si>
    <t>SUUMO</t>
  </si>
  <si>
    <t>プラザ富田</t>
  </si>
  <si>
    <t>富田町1-13-25</t>
  </si>
  <si>
    <t>府営高槻深沢住宅（団地・10棟）</t>
  </si>
  <si>
    <t>深沢町2丁目</t>
  </si>
  <si>
    <t xml:space="preserve"> </t>
  </si>
  <si>
    <t>大阪府営住宅／団地・投函容易・大型</t>
  </si>
  <si>
    <t>シティハウス高槻城西町</t>
  </si>
  <si>
    <t>城西町10-47</t>
  </si>
  <si>
    <t>マンションレビュー(築浅・要現地確認)</t>
  </si>
  <si>
    <t>津之江町</t>
  </si>
  <si>
    <t>メゾン津之江（団地型）</t>
  </si>
  <si>
    <t>津之江町3-1-1</t>
  </si>
  <si>
    <t>高槻ファミリーハイツ A棟</t>
  </si>
  <si>
    <t>城西町4-15</t>
  </si>
  <si>
    <t>エメラルドマンション高槻</t>
  </si>
  <si>
    <t>リヴェール城西</t>
  </si>
  <si>
    <t>城西町3-35</t>
  </si>
  <si>
    <t>アソシアード高槻</t>
  </si>
  <si>
    <t>城西町1-27</t>
  </si>
  <si>
    <t>マンションマーケット/HOME'S</t>
  </si>
  <si>
    <t>ローズコーポ高槻津之江</t>
  </si>
  <si>
    <t>阪急ヒルズコート高槻（団地・複数番館）</t>
  </si>
  <si>
    <t>上土室1-10</t>
  </si>
  <si>
    <t>シャルマンコーポ摂津富田</t>
  </si>
  <si>
    <t>大畑町21-1</t>
  </si>
  <si>
    <t>氷室町</t>
  </si>
  <si>
    <t>グリーンマークス高槻</t>
  </si>
  <si>
    <t>氷室町2-26-1</t>
  </si>
  <si>
    <t>self-in(築浅・要現地確認)</t>
  </si>
  <si>
    <t>摂津マンションB棟</t>
  </si>
  <si>
    <t>大畑町2-7</t>
  </si>
  <si>
    <t>ランフォルセ高槻フォーリア</t>
  </si>
  <si>
    <t>上土室6-23-12</t>
  </si>
  <si>
    <t>self-in(要現地確認)</t>
  </si>
  <si>
    <t>摂津マンションC棟</t>
  </si>
  <si>
    <t>高槻阿武山東団地二番街 E01棟</t>
  </si>
  <si>
    <t>上土室3-16</t>
  </si>
  <si>
    <t>高槻阿武山東団地二番街 E02棟</t>
  </si>
  <si>
    <t>リーベスト高槻</t>
  </si>
  <si>
    <t>上土室1-8-1</t>
  </si>
  <si>
    <t>宮田町</t>
  </si>
  <si>
    <t>ロイヤルシャトー高槻</t>
  </si>
  <si>
    <t>宮田町2-17-34</t>
  </si>
  <si>
    <t>アルバ高槻</t>
  </si>
  <si>
    <t>上土室1-14-1</t>
  </si>
  <si>
    <t>城第一マンション</t>
  </si>
  <si>
    <t>土室町1-10</t>
  </si>
  <si>
    <t>ユニアルス高槻</t>
  </si>
  <si>
    <t>大畑町12-16</t>
  </si>
  <si>
    <t>川添</t>
  </si>
  <si>
    <t>マンション川添</t>
  </si>
  <si>
    <t>川添2-23-2</t>
  </si>
  <si>
    <t>摂津マンションA棟</t>
  </si>
  <si>
    <t>ロイヤルシャトー宮田町</t>
  </si>
  <si>
    <t>宮田町2-18-5</t>
  </si>
  <si>
    <t>藤和シティホームズ高槻氷室</t>
  </si>
  <si>
    <t>氷室町2-14-1</t>
  </si>
  <si>
    <t>摂津マンションE棟</t>
  </si>
  <si>
    <t>グリーンエクセル高槻</t>
  </si>
  <si>
    <t>氷室町1-28-1</t>
  </si>
  <si>
    <t>下田部団地（A・B・C／公社・府営）</t>
  </si>
  <si>
    <t>登町12ほか</t>
  </si>
  <si>
    <t>大阪府住宅供給公社</t>
  </si>
  <si>
    <t>大和サニーハイツ高槻 4棟</t>
  </si>
  <si>
    <t>宮野町3-4</t>
  </si>
  <si>
    <t>大和サニーハイツ高槻 3棟</t>
  </si>
  <si>
    <t>宮野町3-3</t>
  </si>
  <si>
    <t>大和サニーハイツ高槻 2棟</t>
  </si>
  <si>
    <t>宮野町3-2</t>
  </si>
  <si>
    <t>大和サニーハイツ高槻 1棟</t>
  </si>
  <si>
    <t>宮野町3-1</t>
  </si>
  <si>
    <t>モンセーヌ高槻セレシア</t>
  </si>
  <si>
    <t>宮野町5-1</t>
  </si>
  <si>
    <t>ブロド高槻</t>
  </si>
  <si>
    <t>宮野町9-12</t>
  </si>
  <si>
    <t>チサンマンション高槻</t>
  </si>
  <si>
    <t>明田町3-10</t>
  </si>
  <si>
    <t>サントピア高槻</t>
  </si>
  <si>
    <t>登町48-8</t>
  </si>
  <si>
    <t>土橋住宅</t>
  </si>
  <si>
    <t>城南町1-22-15</t>
  </si>
  <si>
    <t>城南ハイツ</t>
  </si>
  <si>
    <t>城南町3-15-10</t>
  </si>
  <si>
    <t>サンハイツ高槻（団地・11号館）</t>
  </si>
  <si>
    <t>別所本町17</t>
  </si>
  <si>
    <t>マンションマーケット/大全集</t>
  </si>
  <si>
    <t>朝日プラザ高槻イーストヒルズ A・B棟</t>
  </si>
  <si>
    <t>別所本町10</t>
  </si>
  <si>
    <t>マンションマーケット</t>
  </si>
  <si>
    <t>南平台</t>
  </si>
  <si>
    <t>ブードワールビル</t>
  </si>
  <si>
    <t>南平台4-15-22</t>
  </si>
  <si>
    <t>南平台ヤタヒルズ2</t>
  </si>
  <si>
    <t>南平台3-27-30</t>
  </si>
  <si>
    <t>富田団地</t>
  </si>
  <si>
    <t>牧田町</t>
  </si>
  <si>
    <t>★UR富田団地（富田第二住宅）</t>
  </si>
  <si>
    <t>高槻市牧田町（富田駅至近）</t>
  </si>
  <si>
    <t>UR都市機構・要投函可否確認</t>
  </si>
  <si>
    <t>合計</t>
  </si>
  <si>
    <t>83棟</t>
  </si>
  <si>
    <t>チラシ3,000枚 配布計画（10人／1戸=1枚・団地の集合ポスト優先・富田団地を主役に）</t>
  </si>
  <si>
    <t>エリア名</t>
  </si>
  <si>
    <t>枚数</t>
  </si>
  <si>
    <t>担当人数</t>
  </si>
  <si>
    <t>主な投函先（団地・大型マンション優先）</t>
  </si>
  <si>
    <t>牧田町（UR富田団地）</t>
  </si>
  <si>
    <t>★UR富田団地 約2,582戸に集中投函（1か所で大量消化＝最効率）。※UR管理事務所に投函可否を事前確認</t>
  </si>
  <si>
    <t>古曽部団地群（スカイハイツ248/グランドハイツ171/メゾン111/ビューハイツ102）＋駅周辺M</t>
  </si>
  <si>
    <t>高垣（＋登町・宮野町）</t>
  </si>
  <si>
    <t>下田部団地1,140 / 大和サニーハイツ412</t>
  </si>
  <si>
    <t>土室・氷室</t>
  </si>
  <si>
    <t>大畑町 摂津マンション群（約647）/阪急ヒルズコート/グリーンマークス200</t>
  </si>
  <si>
    <t>ライオンズM高槻106/高槻セントポリア73/翠が丘団地56/コスモ高槻</t>
  </si>
  <si>
    <t>府営高槻深沢住宅/メゾン津之江50/高槻ファミリーハイツ</t>
  </si>
  <si>
    <t>サンハイツ高槻460/朝日プラザ126</t>
  </si>
  <si>
    <t>6エリア</t>
  </si>
  <si>
    <t>■ 進め方</t>
  </si>
  <si>
    <t>・1戸=1枚。団地・大型マンションの集合ポストにまとめて投函＝手間あたりのリーチ最大。</t>
  </si>
  <si>
    <t>・各エリアとも「想定マンション密度=高/中」の町丁目→大型団地から着手（建物リスト投函向けタブ参照）。</t>
  </si>
  <si>
    <t>・1人約300枚＝集合ポスト中心なら2〜3時間目安。</t>
  </si>
  <si>
    <t>・チラシのQRは“そのエリアの最寄り登録店”を入れる（近所で使える感を出す）。</t>
  </si>
  <si>
    <t>・「チラシお断り」掲示・管理規約NGのマンションには入れない。築浅め（グリーンマークス等）はオートロック要現地確認。</t>
  </si>
  <si>
    <t>■ もっと効率を上げたい場合</t>
  </si>
  <si>
    <t>・参考：UR富田団地（牧田町・約2,582戸）を足せば1か所で大量消化可。指定エリア外なので入れるかは要判断。</t>
  </si>
  <si>
    <t>【今日配る2,000枚】2班に分割（班1=A高槻駅 953枚／班2=F+D+C 1,047枚）・重点店から徒歩15分以内＋投函できる団地/築古優先</t>
  </si>
  <si>
    <t>班</t>
  </si>
  <si>
    <t>近くの重点店</t>
  </si>
  <si>
    <t>投函先（建物）</t>
  </si>
  <si>
    <t>投函可否</t>
  </si>
  <si>
    <t>メモ</t>
  </si>
  <si>
    <t>地図</t>
  </si>
  <si>
    <t>担当</t>
  </si>
  <si>
    <t>班1</t>
  </si>
  <si>
    <t>A 高槻駅</t>
  </si>
  <si>
    <t>poko/ビーチアイランド/マウンテン</t>
  </si>
  <si>
    <t>大阪府高槻市古曽部町2-10-10</t>
  </si>
  <si>
    <t>✅団地</t>
  </si>
  <si>
    <t>248戸まるごと（poko真隣・徒歩1分）</t>
  </si>
  <si>
    <t>地図で開く</t>
  </si>
  <si>
    <t>〃</t>
  </si>
  <si>
    <t>大阪府高槻市古曽部町2-15-1</t>
  </si>
  <si>
    <t>171戸まるごと</t>
  </si>
  <si>
    <t>大阪府高槻市古曽部町2-6-1</t>
  </si>
  <si>
    <t>✅</t>
  </si>
  <si>
    <t>111戸まるごと</t>
  </si>
  <si>
    <t>大阪府高槻市古曽部町2-14-10</t>
  </si>
  <si>
    <t>102戸まるごと</t>
  </si>
  <si>
    <t>大阪府高槻市古曽部町2-29</t>
  </si>
  <si>
    <t>83戸まるごと</t>
  </si>
  <si>
    <t>大阪府高槻市古曽部町2-15-8</t>
  </si>
  <si>
    <t>78戸のうち63戸（打ち止め）</t>
  </si>
  <si>
    <t>manu a manu BAKE(城北町)</t>
  </si>
  <si>
    <t>大阪府高槻市城北町2-7-7</t>
  </si>
  <si>
    <t>75戸まるごと（徒歩5分）</t>
  </si>
  <si>
    <t>ピケのチーズケーキ屋(北園町)</t>
  </si>
  <si>
    <t>大阪府高槻市北園町2-3</t>
  </si>
  <si>
    <t>41戸まるごと（徒歩2分）</t>
  </si>
  <si>
    <t>大阪府高槻市北園町9-9</t>
  </si>
  <si>
    <t>38戸まるごと</t>
  </si>
  <si>
    <t>大阪府高槻市北園町13-32</t>
  </si>
  <si>
    <t>21戸まるごと（ピケ隣）</t>
  </si>
  <si>
    <t>班2</t>
  </si>
  <si>
    <t>F 土室・氷室</t>
  </si>
  <si>
    <t>Taps BURGER(氷室町2)</t>
  </si>
  <si>
    <t>大阪府高槻市氷室町2-26-1</t>
  </si>
  <si>
    <t>⚠️要確認</t>
  </si>
  <si>
    <t>築浅2006・集合ポスト投函可否を現地確認。NGは阪急ヒルズコートへ回す（Taps徒歩5分）</t>
  </si>
  <si>
    <t>料理家三(上土室5)</t>
  </si>
  <si>
    <t>阪急ヒルズコート高槻</t>
  </si>
  <si>
    <t>大阪府高槻市上土室1-10</t>
  </si>
  <si>
    <t>494戸の団地のうち271戸（投函しやすい・徒歩5分／余力223戸＝振替先）</t>
  </si>
  <si>
    <t>コウタロウ(土室町9)/宮田町</t>
  </si>
  <si>
    <t>大阪府高槻市宮田町2-17-34</t>
  </si>
  <si>
    <t>54戸まるごと（徒歩13分）</t>
  </si>
  <si>
    <t>コウタロウ(土室町9)</t>
  </si>
  <si>
    <t>大阪府高槻市土室町1-10</t>
  </si>
  <si>
    <t>42戸まるごと（徒歩4分）</t>
  </si>
  <si>
    <t>大阪府高槻市宮田町2-18-5</t>
  </si>
  <si>
    <t>18戸まるごと</t>
  </si>
  <si>
    <t>Taps(氷室町1)</t>
  </si>
  <si>
    <t>大阪府高槻市氷室町1-28-1</t>
  </si>
  <si>
    <t>15戸まるごと（徒歩7分）</t>
  </si>
  <si>
    <t>D 津之江</t>
  </si>
  <si>
    <t>anpan/LUCCA(津之江町1)</t>
  </si>
  <si>
    <t>メゾン津之江</t>
  </si>
  <si>
    <t>大阪府高槻市津之江町3-1-1</t>
  </si>
  <si>
    <t>50戸まるごと・1974築（徒歩8分）</t>
  </si>
  <si>
    <t>大阪府高槻市津之江町1丁目</t>
  </si>
  <si>
    <t>40戸まるごと・1987築（番地現地確認）</t>
  </si>
  <si>
    <t>高槻ファミリーハイツA棟</t>
  </si>
  <si>
    <t>大阪府高槻市城西町4-15</t>
  </si>
  <si>
    <t>40戸まるごと・1973築</t>
  </si>
  <si>
    <t>大阪府高槻市城西町3-35</t>
  </si>
  <si>
    <t>32戸のうち30戸（打ち止め）</t>
  </si>
  <si>
    <t>anpan/LUCCA(津之江町2)</t>
  </si>
  <si>
    <t>大阪府高槻市津之江町2丁目</t>
  </si>
  <si>
    <t>18戸まるごと・1984築（番地現地確認）</t>
  </si>
  <si>
    <t>大阪府高槻市城西町1-27</t>
  </si>
  <si>
    <t>19戸まるごと</t>
  </si>
  <si>
    <t>C 高垣</t>
  </si>
  <si>
    <t>Bake House Nagomi(高垣町)/宮野町</t>
  </si>
  <si>
    <t>大阪府高槻市宮野町3-2</t>
  </si>
  <si>
    <t>108戸まるごと（徒歩13分）</t>
  </si>
  <si>
    <t>大阪府高槻市宮野町3-1</t>
  </si>
  <si>
    <t>88戸まるごと</t>
  </si>
  <si>
    <t>大阪府高槻市宮野町3-3</t>
  </si>
  <si>
    <t>108戸のうち54戸（打ち止め）</t>
  </si>
  <si>
    <t>班別小計： 班1(A高槻駅) 953枚 ／ 班2(F+D+C) 1047枚　＝計2,000枚（今日）</t>
  </si>
  <si>
    <t>エリア小計： A 高槻駅 953枚 ／ F 土室・氷室 600枚 ／ D 津之江 197枚 ／ C 高垣 250枚</t>
  </si>
  <si>
    <t>■ 班分け</t>
  </si>
  <si>
    <t>・班1＝A高槻駅エリア(953枚)：古曽部・北園・城北。駅北西に集中、徒歩で回れる。</t>
  </si>
  <si>
    <t>・班2＝F土室/氷室+D津之江+C高垣(1,047枚)：移動あり、自転車/車。サブエリアごとに固めて回る。</t>
  </si>
  <si>
    <t>■ ポスティング前提</t>
  </si>
  <si>
    <t>・✅＝団地/築古で集合ポストに投函しやすい。⚠️＝築浅でオートロックの可能性→現地で集合ポストの投函可否を1棟見てから。</t>
  </si>
  <si>
    <t>・「まるごと」=全戸。「○戸のうち○戸」=残り枚数で打ち止め。</t>
  </si>
  <si>
    <t>・⚠️グリーンマークスがNGなら、その200枚は阪急ヒルズコート（団地・余力223戸）へ回す。</t>
  </si>
  <si>
    <t>・QRはそのエリアの最寄り重点店。「チラシお断り」掲示・規約NGは投函しない。</t>
  </si>
  <si>
    <t>■ 全体3,000枚との関係</t>
  </si>
  <si>
    <t>・本日2,000枚＝重点店中心(班1+班2)。残り1,000枚は後日（E富田・B南平台・富田団地 などへ）。</t>
  </si>
  <si>
    <t>【残り1,000枚（後日）】E富田＋高槻駅周辺マンション＋B南平台／全体3,000の本日2,000以外</t>
  </si>
  <si>
    <t>区分</t>
  </si>
  <si>
    <t>近くの登録店</t>
  </si>
  <si>
    <t>E 富田</t>
  </si>
  <si>
    <t>珈琲館松屋(富田町1)</t>
  </si>
  <si>
    <t>大阪府高槻市富田町1-7-7</t>
  </si>
  <si>
    <t>徒歩2分</t>
  </si>
  <si>
    <t>翠が丘団地</t>
  </si>
  <si>
    <t>大阪府高槻市富田町1-32-7</t>
  </si>
  <si>
    <t>大阪府高槻市富田町1-14-9</t>
  </si>
  <si>
    <t>大阪府高槻市富田町1-30-21</t>
  </si>
  <si>
    <t>PEEKABOO(富田丘町)</t>
  </si>
  <si>
    <t>大阪府高槻市富田丘町13-15</t>
  </si>
  <si>
    <t>徒歩1分</t>
  </si>
  <si>
    <t>大阪府高槻市富田町1-31-1</t>
  </si>
  <si>
    <t>大阪府高槻市富田丘町9-3</t>
  </si>
  <si>
    <t>珈琲館松屋(昭和台町)</t>
  </si>
  <si>
    <t>大阪府高槻市昭和台町1-4-10</t>
  </si>
  <si>
    <t>徒歩12分</t>
  </si>
  <si>
    <t>珈琲館松屋(富田町6)</t>
  </si>
  <si>
    <t>大阪府高槻市富田町6-15-2</t>
  </si>
  <si>
    <t>徒歩14分</t>
  </si>
  <si>
    <t>大阪府高槻市富田町1-13-25</t>
  </si>
  <si>
    <t>A 高槻駅周辺</t>
  </si>
  <si>
    <t>poko/芥川/北園 徒歩圏</t>
  </si>
  <si>
    <t>大阪府高槻市古曽部町1-8-4</t>
  </si>
  <si>
    <t>古め</t>
  </si>
  <si>
    <t>炒飯91kuppin(松原町)</t>
  </si>
  <si>
    <t>大阪府高槻市松原町4-5</t>
  </si>
  <si>
    <t>⚠要確認</t>
  </si>
  <si>
    <t>分譲・要現地確認</t>
  </si>
  <si>
    <t>manu a manu/バルバ(城北町)</t>
  </si>
  <si>
    <t>大阪府高槻市城北町1-1-2</t>
  </si>
  <si>
    <t>ザ・ガーデンスイート</t>
  </si>
  <si>
    <t>大阪府高槻市芥川町4-6-23</t>
  </si>
  <si>
    <t>ビーチアイランド/マウンテン(芥川町2)</t>
  </si>
  <si>
    <t>大阪府高槻市芥川町2-13-26</t>
  </si>
  <si>
    <t>ピケ/レモンド(北園町)</t>
  </si>
  <si>
    <t>大阪府高槻市北園町4-8</t>
  </si>
  <si>
    <t>大阪府高槻市北園町2-21</t>
  </si>
  <si>
    <t>大阪府高槻市芥川町2-24-5</t>
  </si>
  <si>
    <t>大阪府高槻市北園町4-1</t>
  </si>
  <si>
    <t>ビーチアイランド/マウンテン(芥川町1)</t>
  </si>
  <si>
    <t>大阪府高槻市芥川町1-13-19</t>
  </si>
  <si>
    <t>poko(古曽部町1)</t>
  </si>
  <si>
    <t>大阪府高槻市古曽部町1-2-20</t>
  </si>
  <si>
    <t>BAR椿(高槻町/大手町)</t>
  </si>
  <si>
    <t>大阪府高槻市大手町4-21</t>
  </si>
  <si>
    <t>大阪府高槻市大手町3-18</t>
  </si>
  <si>
    <t>ビーチアイランド(芥川町4)</t>
  </si>
  <si>
    <t>大阪府高槻市芥川町4-5-18</t>
  </si>
  <si>
    <t>大阪府高槻市大手町3-19</t>
  </si>
  <si>
    <t>poko(古曽部町2)</t>
  </si>
  <si>
    <t>レオ高槻（残り）</t>
  </si>
  <si>
    <t>本日63投函済の残り15</t>
  </si>
  <si>
    <t>B 南平台</t>
  </si>
  <si>
    <t>レヴェイユ(南平台4)</t>
  </si>
  <si>
    <t>大阪府高槻市南平台4-15-22</t>
  </si>
  <si>
    <t>徒歩6分</t>
  </si>
  <si>
    <t>レヴェイユ(南平台3)</t>
  </si>
  <si>
    <t>大阪府高槻市南平台3-27-30</t>
  </si>
  <si>
    <t>づぼら/レヴェイユ(南平台1〜5)</t>
  </si>
  <si>
    <t>南平台の戸建て・小規模アパートに面配り</t>
  </si>
  <si>
    <t>大阪府高槻市南平台1〜5丁目</t>
  </si>
  <si>
    <t>✅戸建</t>
  </si>
  <si>
    <t>大型が無いので戸建て中心に面で</t>
  </si>
  <si>
    <t>区分小計： E 富田 440枚 ／ A 高槻駅周辺 468枚 ／ B 南平台 92枚</t>
  </si>
  <si>
    <t>■ 注意</t>
  </si>
  <si>
    <t>・E富田は全部 団地/古め＝投函しやすい（◎）。</t>
  </si>
  <si>
    <t>・A高槻駅周辺は今日の団地を使い切った後の小〜中規模分譲が中心。⚠は築浅でオートロックの可能性→集合ポスト投函可否を現地で確認、NGは飛ばす。</t>
  </si>
  <si>
    <t>・B南平台は大型が2棟だけ。残りは南平台1〜5の戸建て・小規模に面配り。</t>
  </si>
  <si>
    <t>・本日2,000＋この1,000＝3,000で完了。</t>
  </si>
  <si>
    <t>ポスティング 配布実績（昨日）</t>
  </si>
  <si>
    <t>建物</t>
  </si>
  <si>
    <t>配布枚数</t>
  </si>
  <si>
    <t>状態 / メモ</t>
  </si>
  <si>
    <t>投函禁止：★計画A団地。投函禁止</t>
  </si>
  <si>
    <t>レ・ジェイド</t>
  </si>
  <si>
    <t>配布済：枚数未記入</t>
  </si>
  <si>
    <t>べヌール葵</t>
  </si>
  <si>
    <t>プラウドシティ高槻シーズンレジデンス</t>
  </si>
  <si>
    <t>グランレジェイド高槻</t>
  </si>
  <si>
    <t>ザ・パークハウス高槻</t>
  </si>
  <si>
    <t>グランドサリサ</t>
  </si>
  <si>
    <t>クレヴィア高槻サウスレジデンス</t>
  </si>
  <si>
    <t>la casa 高槻</t>
  </si>
  <si>
    <t>VIVRE高槻</t>
  </si>
  <si>
    <t>CHERRY AKUTA</t>
  </si>
  <si>
    <t>Mina Koti</t>
  </si>
  <si>
    <t>芥川マンション</t>
  </si>
  <si>
    <t>MIOビル芥川（旧:丹波パルネット）</t>
  </si>
  <si>
    <t>エスペランズ芥川</t>
  </si>
  <si>
    <t>シャーメゾン芥川</t>
  </si>
  <si>
    <t>大和レジデンス高槻</t>
  </si>
  <si>
    <t>Shel Land</t>
  </si>
  <si>
    <t>エバーグリーン田中</t>
  </si>
  <si>
    <t>アーバンパレス</t>
  </si>
  <si>
    <t>umiere高槻芥川</t>
  </si>
  <si>
    <t>シャトー芥川</t>
  </si>
  <si>
    <t>柳原第一パールマンション</t>
  </si>
  <si>
    <t>芥川グリーンハイツ</t>
  </si>
  <si>
    <t>芥川シティハイツ</t>
  </si>
  <si>
    <t>Excel Ⅱ</t>
  </si>
  <si>
    <t>ライオンズマンション高槻リバーサイド</t>
  </si>
  <si>
    <t>パークホームズ高槻殿町</t>
  </si>
  <si>
    <t>Sunlight Fuku</t>
  </si>
  <si>
    <t>カーサク芥川</t>
  </si>
  <si>
    <t>プロビナンス村橋</t>
  </si>
  <si>
    <t>Grand Cru芥川</t>
  </si>
  <si>
    <t>シーヴェシェン</t>
  </si>
  <si>
    <t>Paffine芥川</t>
  </si>
  <si>
    <t>山﨑Mansion16 高槻芥川</t>
  </si>
  <si>
    <t>イトーピア高槻天神町</t>
  </si>
  <si>
    <t>投函禁止：投函禁止</t>
  </si>
  <si>
    <t>光栄ハイツ</t>
  </si>
  <si>
    <t>casa Mia</t>
  </si>
  <si>
    <t>チャルテ高槻天神</t>
  </si>
  <si>
    <t>クレール天神</t>
  </si>
  <si>
    <t>ワイズコート天神</t>
  </si>
  <si>
    <t>緑芥川ビル</t>
  </si>
  <si>
    <t>アップル古曽部</t>
  </si>
  <si>
    <t>Lago Drimajera古曽部</t>
  </si>
  <si>
    <t>光栄ハイツ古曽部2</t>
  </si>
  <si>
    <t>グリーンタウン</t>
  </si>
  <si>
    <t>Gran Avvews</t>
  </si>
  <si>
    <t>ベラヴィッタ古曽部</t>
  </si>
  <si>
    <t>HALLEY TAKATSUKI</t>
  </si>
  <si>
    <t>マンション一理塚</t>
  </si>
  <si>
    <t>バックス高槻古曽部</t>
  </si>
  <si>
    <t>HAL高槻弐番館</t>
  </si>
  <si>
    <t>パラッツォ</t>
  </si>
  <si>
    <t>西島マンション</t>
  </si>
  <si>
    <t>シティコーポ真上</t>
  </si>
  <si>
    <t>ウエスコート</t>
  </si>
  <si>
    <t>Sunshine てんじんやま</t>
  </si>
  <si>
    <t>天川住宅</t>
  </si>
  <si>
    <t>配布済：2・3・4・18〜28・29〜33棟（枚数未記入）</t>
  </si>
  <si>
    <t>高槻ローズハイツ</t>
  </si>
  <si>
    <t>高槻センチュリーマンション</t>
  </si>
  <si>
    <t>記載枚数の合計</t>
  </si>
  <si>
    <t>※枚数未記入・天川住宅は別</t>
  </si>
  <si>
    <t>■ 重要メモ</t>
  </si>
  <si>
    <t>・投函禁止 8棟：高槻スカイハイツ／ニチメン高槻グランドハイツ／メゾン高槻古曽部／高槻ビューハイツ槻の木／ライオンズ高槻古曽部／レオ高槻／イトーピア高槻天神町／パラッツォ</t>
  </si>
  <si>
    <t>・うち6棟は計画用紙Aエリアの団地（古曽部団地群）。今後の計画から除外する。</t>
  </si>
  <si>
    <t>・ザ・パークハウス/グランレジェイド/レ・ジェイド/クレヴィア/la casa 等は配布できた（オートロックでも集合ポスト投函可だった）。</t>
  </si>
  <si>
    <t>・枚数未記入の建物（レ・ジェイド/べヌール葵/プラウドシティ/グランドール/MIOビル/エスペランズ/シャーメゾン/エバーグリーン田中/天川住宅/高槻ローズハイツ/高槻センチュリー）は実数を後で記入。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</si>
</sst>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戸&quot;"/>
    <numFmt numFmtId="165" formatCode="#,##0&quot;枚&quot;"/>
    <numFmt numFmtId="166" formatCode="0&quot;人&quot;"/>
  </numFmts>
  <fonts count="12" x14ac:knownFonts="1">
    <font>
      <color theme="1"/>
      <family val="2"/>
      <scheme val="minor"/>
      <sz val="11"/>
      <name val="Calibri"/>
    </font>
    <font>
      <b/>
      <sz val="14"/>
      <name val="Meiryo"/>
    </font>
    <font>
      <b/>
      <color rgb="FFFFFFFF"/>
      <name val="Meiryo"/>
    </font>
    <font>
      <name val="Meiryo"/>
    </font>
    <font>
      <b/>
      <color rgb="FFC62828"/>
      <name val="Meiryo"/>
    </font>
    <font>
      <b/>
      <color rgb="FFEF6C00"/>
      <name val="Meiryo"/>
    </font>
    <font>
      <b/>
      <color rgb="FF757575"/>
      <name val="Meiryo"/>
    </font>
    <font>
      <b/>
      <name val="Meiryo"/>
    </font>
    <font>
      <b/>
      <sz val="13"/>
      <name val="Meiryo"/>
    </font>
    <font>
      <color rgb="FF2E7D32"/>
      <name val="Meiryo"/>
    </font>
    <font>
      <u/>
      <color rgb="FF1565C0"/>
      <name val="Meiryo"/>
    </font>
    <font>
      <b/>
      <color rgb="FFE65100"/>
      <name val="Meiryo"/>
    </font>
  </fonts>
  <fills count="10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BBDEFB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FFD54F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hair">
        <color rgb="FFCCCCCC"/>
      </bottom>
      <diagonal/>
    </border>
    <border>
      <left/>
      <right/>
      <top style="thin"/>
      <bottom/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/>
    <xf numFmtId="9" fontId="3" fillId="0" borderId="0" xfId="0" applyNumberFormat="1" applyFont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7" fillId="0" borderId="3" xfId="0" applyFont="1" applyBorder="1"/>
    <xf numFmtId="9" fontId="7" fillId="0" borderId="3" xfId="0" applyNumberFormat="1" applyFont="1" applyBorder="1"/>
    <xf numFmtId="0" fontId="8" fillId="0" borderId="0" xfId="0" applyFont="1"/>
    <xf numFmtId="0" fontId="2" fillId="2" borderId="0" xfId="0" applyFont="1" applyFill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3" fillId="0" borderId="4" xfId="0" applyFont="1" applyBorder="1"/>
    <xf numFmtId="164" fontId="7" fillId="0" borderId="4" xfId="0" applyNumberFormat="1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164" fontId="7" fillId="0" borderId="3" xfId="0" applyNumberFormat="1" applyFont="1" applyBorder="1"/>
    <xf numFmtId="0" fontId="3" fillId="9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165" fontId="7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165" fontId="7" fillId="0" borderId="3" xfId="0" applyNumberFormat="1" applyFont="1" applyBorder="1" applyAlignment="1">
      <alignment horizontal="right"/>
    </xf>
    <xf numFmtId="166" fontId="7" fillId="0" borderId="3" xfId="0" applyNumberFormat="1" applyFont="1" applyBorder="1" applyAlignment="1">
      <alignment horizontal="center"/>
    </xf>
    <xf numFmtId="0" fontId="7" fillId="0" borderId="0" xfId="0" applyFont="1"/>
    <xf numFmtId="0" fontId="7" fillId="5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165" fontId="7" fillId="0" borderId="4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3" fillId="8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 wrapText="1"/>
    </xf>
    <xf numFmtId="165" fontId="3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%E9%AB%98%E6%A7%BB%E3%82%B9%E3%82%AB%E3%82%A4%E3%83%8F%E3%82%A4%E3%83%84%20%E5%A4%A7%E9%98%AA%E5%BA%9C%E9%AB%98%E6%A7%BB%E5%B8%82%E5%8F%A4%E6%9B%BD%E9%83%A8%E7%94%BA2-10-10" TargetMode="External"/><Relationship Id="rId2" Type="http://schemas.openxmlformats.org/officeDocument/2006/relationships/hyperlink" Target="https://www.google.com/maps/search/?api=1&amp;query=%E3%83%8B%E3%83%81%E3%83%A1%E3%83%B3%E9%AB%98%E6%A7%BB%E3%82%B0%E3%83%A9%E3%83%B3%E3%83%89%E3%83%8F%E3%82%A4%E3%83%84%20%E5%A4%A7%E9%98%AA%E5%BA%9C%E9%AB%98%E6%A7%BB%E5%B8%82%E5%8F%A4%E6%9B%BD%E9%83%A8%E7%94%BA2-15-1" TargetMode="External"/><Relationship Id="rId3" Type="http://schemas.openxmlformats.org/officeDocument/2006/relationships/hyperlink" Target="https://www.google.com/maps/search/?api=1&amp;query=%E3%83%A1%E3%82%BE%E3%83%B3%E9%AB%98%E6%A7%BB%E5%8F%A4%E6%9B%BD%E9%83%A8%20%E5%A4%A7%E9%98%AA%E5%BA%9C%E9%AB%98%E6%A7%BB%E5%B8%82%E5%8F%A4%E6%9B%BD%E9%83%A8%E7%94%BA2-6-1" TargetMode="External"/><Relationship Id="rId4" Type="http://schemas.openxmlformats.org/officeDocument/2006/relationships/hyperlink" Target="https://www.google.com/maps/search/?api=1&amp;query=%E9%AB%98%E6%A7%BB%E3%83%93%E3%83%A5%E3%83%BC%E3%83%8F%E3%82%A4%E3%83%84%E6%A7%BB%E3%81%AE%E6%9C%A8%20%E5%A4%A7%E9%98%AA%E5%BA%9C%E9%AB%98%E6%A7%BB%E5%B8%82%E5%8F%A4%E6%9B%BD%E9%83%A8%E7%94%BA2-14-10" TargetMode="External"/><Relationship Id="rId5" Type="http://schemas.openxmlformats.org/officeDocument/2006/relationships/hyperlink" Target="https://www.google.com/maps/search/?api=1&amp;query=%E3%83%A9%E3%82%A4%E3%82%AA%E3%83%B3%E3%82%BA%E9%AB%98%E6%A7%BB%E5%8F%A4%E6%9B%BD%E9%83%A8%20%E5%A4%A7%E9%98%AA%E5%BA%9C%E9%AB%98%E6%A7%BB%E5%B8%82%E5%8F%A4%E6%9B%BD%E9%83%A8%E7%94%BA2-29" TargetMode="External"/><Relationship Id="rId6" Type="http://schemas.openxmlformats.org/officeDocument/2006/relationships/hyperlink" Target="https://www.google.com/maps/search/?api=1&amp;query=%E3%83%AC%E3%82%AA%E9%AB%98%E6%A7%BB%20%E5%A4%A7%E9%98%AA%E5%BA%9C%E9%AB%98%E6%A7%BB%E5%B8%82%E5%8F%A4%E6%9B%BD%E9%83%A8%E7%94%BA2-15-8" TargetMode="External"/><Relationship Id="rId7" Type="http://schemas.openxmlformats.org/officeDocument/2006/relationships/hyperlink" Target="https://www.google.com/maps/search/?api=1&amp;query=%E3%83%89%E3%82%A5%E3%83%BC%E3%82%B7%E3%82%A7%E9%AB%98%E6%A7%BB%20%E5%A4%A7%E9%98%AA%E5%BA%9C%E9%AB%98%E6%A7%BB%E5%B8%82%E5%9F%8E%E5%8C%97%E7%94%BA2-7-7" TargetMode="External"/><Relationship Id="rId8" Type="http://schemas.openxmlformats.org/officeDocument/2006/relationships/hyperlink" Target="https://www.google.com/maps/search/?api=1&amp;query=%E3%82%AF%E3%83%A9%E3%83%AB%E3%83%86%E9%AB%98%E6%A7%BB%E5%8C%97%E5%9C%92%E7%94%BA%20%E5%A4%A7%E9%98%AA%E5%BA%9C%E9%AB%98%E6%A7%BB%E5%B8%82%E5%8C%97%E5%9C%92%E7%94%BA2-3" TargetMode="External"/><Relationship Id="rId9" Type="http://schemas.openxmlformats.org/officeDocument/2006/relationships/hyperlink" Target="https://www.google.com/maps/search/?api=1&amp;query=%E3%82%B0%E3%83%A9%E3%83%B3%E3%82%A2%E3%83%83%E3%82%B7%E3%83%A5%E9%AB%98%E6%A7%BB%E5%8C%97%E5%9C%92%E7%94%BA%20%E5%A4%A7%E9%98%AA%E5%BA%9C%E9%AB%98%E6%A7%BB%E5%B8%82%E5%8C%97%E5%9C%92%E7%94%BA9-9" TargetMode="External"/><Relationship Id="rId10" Type="http://schemas.openxmlformats.org/officeDocument/2006/relationships/hyperlink" Target="https://www.google.com/maps/search/?api=1&amp;query=%E3%82%BB%E3%83%AC%E3%83%96%E9%AB%98%E6%A7%BB%E5%8C%97%E5%9C%92%E7%94%BA%20%E5%A4%A7%E9%98%AA%E5%BA%9C%E9%AB%98%E6%A7%BB%E5%B8%82%E5%8C%97%E5%9C%92%E7%94%BA13-32" TargetMode="External"/><Relationship Id="rId11" Type="http://schemas.openxmlformats.org/officeDocument/2006/relationships/hyperlink" Target="https://www.google.com/maps/search/?api=1&amp;query=%E3%82%B0%E3%83%AA%E3%83%BC%E3%83%B3%E3%83%9E%E3%83%BC%E3%82%AF%E3%82%B9%E9%AB%98%E6%A7%BB%20%E5%A4%A7%E9%98%AA%E5%BA%9C%E9%AB%98%E6%A7%BB%E5%B8%82%E6%B0%B7%E5%AE%A4%E7%94%BA2-26-1" TargetMode="External"/><Relationship Id="rId12" Type="http://schemas.openxmlformats.org/officeDocument/2006/relationships/hyperlink" Target="https://www.google.com/maps/search/?api=1&amp;query=%E9%98%AA%E6%80%A5%E3%83%92%E3%83%AB%E3%82%BA%E3%82%B3%E3%83%BC%E3%83%88%E9%AB%98%E6%A7%BB%20%E5%A4%A7%E9%98%AA%E5%BA%9C%E9%AB%98%E6%A7%BB%E5%B8%82%E4%B8%8A%E5%9C%9F%E5%AE%A41-10" TargetMode="External"/><Relationship Id="rId13" Type="http://schemas.openxmlformats.org/officeDocument/2006/relationships/hyperlink" Target="https://www.google.com/maps/search/?api=1&amp;query=%E3%83%AD%E3%82%A4%E3%83%A4%E3%83%AB%E3%82%B7%E3%83%A3%E3%83%88%E3%83%BC%E9%AB%98%E6%A7%BB%20%E5%A4%A7%E9%98%AA%E5%BA%9C%E9%AB%98%E6%A7%BB%E5%B8%82%E5%AE%AE%E7%94%B0%E7%94%BA2-17-34" TargetMode="External"/><Relationship Id="rId14" Type="http://schemas.openxmlformats.org/officeDocument/2006/relationships/hyperlink" Target="https://www.google.com/maps/search/?api=1&amp;query=%E5%9F%8E%E7%AC%AC%E4%B8%80%E3%83%9E%E3%83%B3%E3%82%B7%E3%83%A7%E3%83%B3%20%E5%A4%A7%E9%98%AA%E5%BA%9C%E9%AB%98%E6%A7%BB%E5%B8%82%E5%9C%9F%E5%AE%A4%E7%94%BA1-10" TargetMode="External"/><Relationship Id="rId15" Type="http://schemas.openxmlformats.org/officeDocument/2006/relationships/hyperlink" Target="https://www.google.com/maps/search/?api=1&amp;query=%E3%83%AD%E3%82%A4%E3%83%A4%E3%83%AB%E3%82%B7%E3%83%A3%E3%83%88%E3%83%BC%E5%AE%AE%E7%94%B0%E7%94%BA%20%E5%A4%A7%E9%98%AA%E5%BA%9C%E9%AB%98%E6%A7%BB%E5%B8%82%E5%AE%AE%E7%94%B0%E7%94%BA2-18-5" TargetMode="External"/><Relationship Id="rId16" Type="http://schemas.openxmlformats.org/officeDocument/2006/relationships/hyperlink" Target="https://www.google.com/maps/search/?api=1&amp;query=%E3%82%B0%E3%83%AA%E3%83%BC%E3%83%B3%E3%82%A8%E3%82%AF%E3%82%BB%E3%83%AB%E9%AB%98%E6%A7%BB%20%E5%A4%A7%E9%98%AA%E5%BA%9C%E9%AB%98%E6%A7%BB%E5%B8%82%E6%B0%B7%E5%AE%A4%E7%94%BA1-28-1" TargetMode="External"/><Relationship Id="rId17" Type="http://schemas.openxmlformats.org/officeDocument/2006/relationships/hyperlink" Target="https://www.google.com/maps/search/?api=1&amp;query=%E3%83%A1%E3%82%BE%E3%83%B3%E6%B4%A5%E4%B9%8B%E6%B1%9F%20%E5%A4%A7%E9%98%AA%E5%BA%9C%E9%AB%98%E6%A7%BB%E5%B8%82%E6%B4%A5%E4%B9%8B%E6%B1%9F%E7%94%BA3-1-1" TargetMode="External"/><Relationship Id="rId18" Type="http://schemas.openxmlformats.org/officeDocument/2006/relationships/hyperlink" Target="https://www.google.com/maps/search/?api=1&amp;query=%E3%82%A8%E3%83%A1%E3%83%A9%E3%83%AB%E3%83%89%E3%83%9E%E3%83%B3%E3%82%B7%E3%83%A7%E3%83%B3%E9%AB%98%E6%A7%BB%20%E5%A4%A7%E9%98%AA%E5%BA%9C%E9%AB%98%E6%A7%BB%E5%B8%82%E6%B4%A5%E4%B9%8B%E6%B1%9F%E7%94%BA1%E4%B8%81%E7%9B%AE" TargetMode="External"/><Relationship Id="rId19" Type="http://schemas.openxmlformats.org/officeDocument/2006/relationships/hyperlink" Target="https://www.google.com/maps/search/?api=1&amp;query=%E9%AB%98%E6%A7%BB%E3%83%95%E3%82%A1%E3%83%9F%E3%83%AA%E3%83%BC%E3%83%8F%E3%82%A4%E3%83%84A%E6%A3%9F%20%E5%A4%A7%E9%98%AA%E5%BA%9C%E9%AB%98%E6%A7%BB%E5%B8%82%E5%9F%8E%E8%A5%BF%E7%94%BA4-15" TargetMode="External"/><Relationship Id="rId20" Type="http://schemas.openxmlformats.org/officeDocument/2006/relationships/hyperlink" Target="https://www.google.com/maps/search/?api=1&amp;query=%E3%83%AA%E3%83%B4%E3%82%A7%E3%83%BC%E3%83%AB%E5%9F%8E%E8%A5%BF%20%E5%A4%A7%E9%98%AA%E5%BA%9C%E9%AB%98%E6%A7%BB%E5%B8%82%E5%9F%8E%E8%A5%BF%E7%94%BA3-35" TargetMode="External"/><Relationship Id="rId21" Type="http://schemas.openxmlformats.org/officeDocument/2006/relationships/hyperlink" Target="https://www.google.com/maps/search/?api=1&amp;query=%E3%83%AD%E3%83%BC%E3%82%BA%E3%82%B3%E3%83%BC%E3%83%9D%E9%AB%98%E6%A7%BB%E6%B4%A5%E4%B9%8B%E6%B1%9F%20%E5%A4%A7%E9%98%AA%E5%BA%9C%E9%AB%98%E6%A7%BB%E5%B8%82%E6%B4%A5%E4%B9%8B%E6%B1%9F%E7%94%BA2%E4%B8%81%E7%9B%AE" TargetMode="External"/><Relationship Id="rId22" Type="http://schemas.openxmlformats.org/officeDocument/2006/relationships/hyperlink" Target="https://www.google.com/maps/search/?api=1&amp;query=%E3%82%A2%E3%82%BD%E3%82%B7%E3%82%A2%E3%83%BC%E3%83%89%E9%AB%98%E6%A7%BB%20%E5%A4%A7%E9%98%AA%E5%BA%9C%E9%AB%98%E6%A7%BB%E5%B8%82%E5%9F%8E%E8%A5%BF%E7%94%BA1-27" TargetMode="External"/><Relationship Id="rId23" Type="http://schemas.openxmlformats.org/officeDocument/2006/relationships/hyperlink" Target="https://www.google.com/maps/search/?api=1&amp;query=%E5%A4%A7%E5%92%8C%E3%82%B5%E3%83%8B%E3%83%BC%E3%83%8F%E3%82%A4%E3%83%84%E9%AB%98%E6%A7%BB%202%E6%A3%9F%20%E5%A4%A7%E9%98%AA%E5%BA%9C%E9%AB%98%E6%A7%BB%E5%B8%82%E5%AE%AE%E9%87%8E%E7%94%BA3-2" TargetMode="External"/><Relationship Id="rId24" Type="http://schemas.openxmlformats.org/officeDocument/2006/relationships/hyperlink" Target="https://www.google.com/maps/search/?api=1&amp;query=%E5%A4%A7%E5%92%8C%E3%82%B5%E3%83%8B%E3%83%BC%E3%83%8F%E3%82%A4%E3%83%84%E9%AB%98%E6%A7%BB%201%E6%A3%9F%20%E5%A4%A7%E9%98%AA%E5%BA%9C%E9%AB%98%E6%A7%BB%E5%B8%82%E5%AE%AE%E9%87%8E%E7%94%BA3-1" TargetMode="External"/><Relationship Id="rId25" Type="http://schemas.openxmlformats.org/officeDocument/2006/relationships/hyperlink" Target="https://www.google.com/maps/search/?api=1&amp;query=%E5%A4%A7%E5%92%8C%E3%82%B5%E3%83%8B%E3%83%BC%E3%83%8F%E3%82%A4%E3%83%84%E9%AB%98%E6%A7%BB%203%E6%A3%9F%20%E5%A4%A7%E9%98%AA%E5%BA%9C%E9%AB%98%E6%A7%BB%E5%B8%82%E5%AE%AE%E9%87%8E%E7%94%BA3-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%E3%83%A9%E3%82%A4%E3%82%AA%E3%83%B3%E3%82%BA%E3%83%9E%E3%83%B3%E3%82%B7%E3%83%A7%E3%83%B3%E9%AB%98%E6%A7%BB%20%E5%A4%A7%E9%98%AA%E5%BA%9C%E9%AB%98%E6%A7%BB%E5%B8%82%E5%AF%8C%E7%94%B0%E7%94%BA1-7-7" TargetMode="External"/><Relationship Id="rId2" Type="http://schemas.openxmlformats.org/officeDocument/2006/relationships/hyperlink" Target="https://www.google.com/maps/search/?api=1&amp;query=%E7%BF%A0%E3%81%8C%E4%B8%98%E5%9B%A3%E5%9C%B0%20%E5%A4%A7%E9%98%AA%E5%BA%9C%E9%AB%98%E6%A7%BB%E5%B8%82%E5%AF%8C%E7%94%B0%E7%94%BA1-32-7" TargetMode="External"/><Relationship Id="rId3" Type="http://schemas.openxmlformats.org/officeDocument/2006/relationships/hyperlink" Target="https://www.google.com/maps/search/?api=1&amp;query=%E3%82%B3%E3%82%B9%E3%83%A2%E9%AB%98%E6%A7%BB%E3%82%BB%E3%83%B3%E3%82%BF%E3%83%BC%E3%82%B3%E3%83%BC%E3%83%88%20%E5%A4%A7%E9%98%AA%E5%BA%9C%E9%AB%98%E6%A7%BB%E5%B8%82%E5%AF%8C%E7%94%B0%E7%94%BA1-14-9" TargetMode="External"/><Relationship Id="rId4" Type="http://schemas.openxmlformats.org/officeDocument/2006/relationships/hyperlink" Target="https://www.google.com/maps/search/?api=1&amp;query=%E3%82%B3%E3%82%B9%E3%83%A2%E9%AB%98%E6%A7%BB%E3%83%91%E3%83%BC%E3%82%AF%E3%82%B9%E3%83%86%E3%83%BC%E3%82%B8%20%E5%A4%A7%E9%98%AA%E5%BA%9C%E9%AB%98%E6%A7%BB%E5%B8%82%E5%AF%8C%E7%94%B0%E7%94%BA1-30-21" TargetMode="External"/><Relationship Id="rId5" Type="http://schemas.openxmlformats.org/officeDocument/2006/relationships/hyperlink" Target="https://www.google.com/maps/search/?api=1&amp;query=%E3%83%A6%E3%83%8B%E3%83%8F%E3%82%A4%E3%83%A0%E9%AB%98%E6%A7%BB%E5%AF%8C%E7%94%B0%E4%B8%98%20%E5%A4%A7%E9%98%AA%E5%BA%9C%E9%AB%98%E6%A7%BB%E5%B8%82%E5%AF%8C%E7%94%B0%E4%B8%98%E7%94%BA13-15" TargetMode="External"/><Relationship Id="rId6" Type="http://schemas.openxmlformats.org/officeDocument/2006/relationships/hyperlink" Target="https://www.google.com/maps/search/?api=1&amp;query=%E3%83%8F%E3%82%A4%E3%83%A0%E5%AF%8C%E7%94%B0%20%E5%A4%A7%E9%98%AA%E5%BA%9C%E9%AB%98%E6%A7%BB%E5%B8%82%E5%AF%8C%E7%94%B0%E7%94%BA1-31-1" TargetMode="External"/><Relationship Id="rId7" Type="http://schemas.openxmlformats.org/officeDocument/2006/relationships/hyperlink" Target="https://www.google.com/maps/search/?api=1&amp;query=%E3%83%A6%E3%83%8B%E3%83%BC%E3%83%96%E3%83%AB%E9%AB%98%E6%A7%BB%E5%AF%8C%E7%94%B0%E4%B8%98%20%E5%A4%A7%E9%98%AA%E5%BA%9C%E9%AB%98%E6%A7%BB%E5%B8%82%E5%AF%8C%E7%94%B0%E4%B8%98%E7%94%BA9-3" TargetMode="External"/><Relationship Id="rId8" Type="http://schemas.openxmlformats.org/officeDocument/2006/relationships/hyperlink" Target="https://www.google.com/maps/search/?api=1&amp;query=%E3%83%97%E3%83%AC%E3%82%A2%E3%83%BC%E3%83%AB%E6%98%AD%E5%92%8C%E5%8F%B0%20%E5%A4%A7%E9%98%AA%E5%BA%9C%E9%AB%98%E6%A7%BB%E5%B8%82%E6%98%AD%E5%92%8C%E5%8F%B0%E7%94%BA1-4-10" TargetMode="External"/><Relationship Id="rId9" Type="http://schemas.openxmlformats.org/officeDocument/2006/relationships/hyperlink" Target="https://www.google.com/maps/search/?api=1&amp;query=%E3%82%A6%E3%82%A7%E3%83%AB%E3%82%B7%E3%83%BC%E3%82%B3%E3%83%BC%E3%83%88%E5%AF%8C%E7%94%B0%20%E5%A4%A7%E9%98%AA%E5%BA%9C%E9%AB%98%E6%A7%BB%E5%B8%82%E5%AF%8C%E7%94%B0%E7%94%BA6-15-2" TargetMode="External"/><Relationship Id="rId10" Type="http://schemas.openxmlformats.org/officeDocument/2006/relationships/hyperlink" Target="https://www.google.com/maps/search/?api=1&amp;query=%E3%83%97%E3%83%A9%E3%82%B6%E5%AF%8C%E7%94%B0%20%E5%A4%A7%E9%98%AA%E5%BA%9C%E9%AB%98%E6%A7%BB%E5%B8%82%E5%AF%8C%E7%94%B0%E7%94%BA1-13-25" TargetMode="External"/><Relationship Id="rId11" Type="http://schemas.openxmlformats.org/officeDocument/2006/relationships/hyperlink" Target="https://www.google.com/maps/search/?api=1&amp;query=%E3%82%A2%E3%83%AB%E3%82%B9%E9%AB%98%E6%A7%BB%20%E5%A4%A7%E9%98%AA%E5%BA%9C%E9%AB%98%E6%A7%BB%E5%B8%82%E5%8F%A4%E6%9B%BD%E9%83%A8%E7%94%BA1-8-4" TargetMode="External"/><Relationship Id="rId12" Type="http://schemas.openxmlformats.org/officeDocument/2006/relationships/hyperlink" Target="https://www.google.com/maps/search/?api=1&amp;query=%E3%83%95%E3%82%A1%E3%83%9F%E3%83%BC%E3%83%AB%E9%AB%98%E6%A7%BB%E3%83%95%E3%82%A7%E3%83%AA%E3%83%BC%E3%82%AF%20%E5%A4%A7%E9%98%AA%E5%BA%9C%E9%AB%98%E6%A7%BB%E5%B8%82%E6%9D%BE%E5%8E%9F%E7%94%BA4-5" TargetMode="External"/><Relationship Id="rId13" Type="http://schemas.openxmlformats.org/officeDocument/2006/relationships/hyperlink" Target="https://www.google.com/maps/search/?api=1&amp;query=%E3%82%A2%E3%82%BD%E3%82%B7%E3%82%A2%E9%AB%98%E6%A7%BB%20St-1%20%E5%A4%A7%E9%98%AA%E5%BA%9C%E9%AB%98%E6%A7%BB%E5%B8%82%E5%9F%8E%E5%8C%97%E7%94%BA1-1-2" TargetMode="External"/><Relationship Id="rId14" Type="http://schemas.openxmlformats.org/officeDocument/2006/relationships/hyperlink" Target="https://www.google.com/maps/search/?api=1&amp;query=%E3%82%B6%E3%83%BB%E3%82%AC%E3%83%BC%E3%83%87%E3%83%B3%E3%82%B9%E3%82%A4%E3%83%BC%E3%83%88%20%E5%A4%A7%E9%98%AA%E5%BA%9C%E9%AB%98%E6%A7%BB%E5%B8%82%E8%8A%A5%E5%B7%9D%E7%94%BA4-6-23" TargetMode="External"/><Relationship Id="rId15" Type="http://schemas.openxmlformats.org/officeDocument/2006/relationships/hyperlink" Target="https://www.google.com/maps/search/?api=1&amp;query=%E3%82%B0%E3%83%A9%E3%83%B3%E3%83%89%E3%83%BC%E3%83%AB%E9%AB%98%E6%A7%BB%20%E5%A4%A7%E9%98%AA%E5%BA%9C%E9%AB%98%E6%A7%BB%E5%B8%82%E8%8A%A5%E5%B7%9D%E7%94%BA2-13-26" TargetMode="External"/><Relationship Id="rId16" Type="http://schemas.openxmlformats.org/officeDocument/2006/relationships/hyperlink" Target="https://www.google.com/maps/search/?api=1&amp;query=%E3%83%97%E3%83%AC%E3%83%87%E3%82%A3%E3%82%A2%E9%AB%98%E6%A7%BB%E5%8C%97%E5%9C%92%E7%94%BA%20%E5%A4%A7%E9%98%AA%E5%BA%9C%E9%AB%98%E6%A7%BB%E5%B8%82%E5%8C%97%E5%9C%92%E7%94%BA4-8" TargetMode="External"/><Relationship Id="rId17" Type="http://schemas.openxmlformats.org/officeDocument/2006/relationships/hyperlink" Target="https://www.google.com/maps/search/?api=1&amp;query=%E3%83%95%E3%82%A1%E3%83%9F%E3%83%BC%E3%83%AB%E9%AB%98%E6%A7%BB%E5%8C%97%E5%9C%92%E7%94%BA%20%E5%A4%A7%E9%98%AA%E5%BA%9C%E9%AB%98%E6%A7%BB%E5%B8%82%E5%8C%97%E5%9C%92%E7%94%BA2-21" TargetMode="External"/><Relationship Id="rId18" Type="http://schemas.openxmlformats.org/officeDocument/2006/relationships/hyperlink" Target="https://www.google.com/maps/search/?api=1&amp;query=JOY%26%E3%82%B3%E3%83%BC%E3%83%9D%E8%8A%A5%E5%B7%9D%20%E5%A4%A7%E9%98%AA%E5%BA%9C%E9%AB%98%E6%A7%BB%E5%B8%82%E8%8A%A5%E5%B7%9D%E7%94%BA2-24-5" TargetMode="External"/><Relationship Id="rId19" Type="http://schemas.openxmlformats.org/officeDocument/2006/relationships/hyperlink" Target="https://www.google.com/maps/search/?api=1&amp;query=%E9%AB%98%E6%A7%BB%E5%8C%97%E5%9C%92%E7%94%BA%E3%82%A2%E3%83%BC%E3%83%90%E3%83%B3%E3%82%B3%E3%83%B3%E3%83%95%E3%82%A9%E3%83%BC%E3%83%88%20%E5%A4%A7%E9%98%AA%E5%BA%9C%E9%AB%98%E6%A7%BB%E5%B8%82%E5%8C%97%E5%9C%92%E7%94%BA4-1" TargetMode="External"/><Relationship Id="rId20" Type="http://schemas.openxmlformats.org/officeDocument/2006/relationships/hyperlink" Target="https://www.google.com/maps/search/?api=1&amp;query=%E3%83%88%E3%83%AC%E3%83%B3%E3%83%87%E3%82%A3%E3%82%A2%E9%AB%98%E6%A7%BB%20%E5%A4%A7%E9%98%AA%E5%BA%9C%E9%AB%98%E6%A7%BB%E5%B8%82%E8%8A%A5%E5%B7%9D%E7%94%BA1-13-19" TargetMode="External"/><Relationship Id="rId21" Type="http://schemas.openxmlformats.org/officeDocument/2006/relationships/hyperlink" Target="https://www.google.com/maps/search/?api=1&amp;query=%E8%97%A4%E5%92%8C%E3%82%B7%E3%83%86%E3%82%A3%E3%83%9B%E3%83%BC%E3%83%A0%E3%82%BA%E9%AB%98%E6%A7%BB%E9%A7%85%E5%89%8D%20%E5%A4%A7%E9%98%AA%E5%BA%9C%E9%AB%98%E6%A7%BB%E5%B8%82%E5%8F%A4%E6%9B%BD%E9%83%A8%E7%94%BA1-2-20" TargetMode="External"/><Relationship Id="rId22" Type="http://schemas.openxmlformats.org/officeDocument/2006/relationships/hyperlink" Target="https://www.google.com/maps/search/?api=1&amp;query=%E3%82%B7%E3%83%A3%E3%83%88%E3%82%A6%E9%AB%98%E6%A7%BB%20%E5%A4%A7%E9%98%AA%E5%BA%9C%E9%AB%98%E6%A7%BB%E5%B8%82%E5%A4%A7%E6%89%8B%E7%94%BA4-21" TargetMode="External"/><Relationship Id="rId23" Type="http://schemas.openxmlformats.org/officeDocument/2006/relationships/hyperlink" Target="https://www.google.com/maps/search/?api=1&amp;query=%E3%83%8F%E3%82%A4%E3%83%84%E5%A4%A7%E6%89%8B%E7%94%BA2%20%E5%A4%A7%E9%98%AA%E5%BA%9C%E9%AB%98%E6%A7%BB%E5%B8%82%E5%A4%A7%E6%89%8B%E7%94%BA3-18" TargetMode="External"/><Relationship Id="rId24" Type="http://schemas.openxmlformats.org/officeDocument/2006/relationships/hyperlink" Target="https://www.google.com/maps/search/?api=1&amp;query=%E3%83%A1%E3%82%BE%E3%83%B3%E9%AB%98%E6%A7%BB%20%E5%A4%A7%E9%98%AA%E5%BA%9C%E9%AB%98%E6%A7%BB%E5%B8%82%E8%8A%A5%E5%B7%9D%E7%94%BA4-5-18" TargetMode="External"/><Relationship Id="rId25" Type="http://schemas.openxmlformats.org/officeDocument/2006/relationships/hyperlink" Target="https://www.google.com/maps/search/?api=1&amp;query=%E3%83%8F%E3%82%A4%E3%83%84%E5%A4%A7%E6%89%8B%E7%94%BA1%20%E5%A4%A7%E9%98%AA%E5%BA%9C%E9%AB%98%E6%A7%BB%E5%B8%82%E5%A4%A7%E6%89%8B%E7%94%BA3-19" TargetMode="External"/><Relationship Id="rId26" Type="http://schemas.openxmlformats.org/officeDocument/2006/relationships/hyperlink" Target="https://www.google.com/maps/search/?api=1&amp;query=%E3%83%AC%E3%82%AA%E9%AB%98%E6%A7%BB%EF%BC%88%E6%AE%8B%E3%82%8A%EF%BC%89%20%E5%A4%A7%E9%98%AA%E5%BA%9C%E9%AB%98%E6%A7%BB%E5%B8%82%E5%8F%A4%E6%9B%BD%E9%83%A8%E7%94%BA2-15-8" TargetMode="External"/><Relationship Id="rId27" Type="http://schemas.openxmlformats.org/officeDocument/2006/relationships/hyperlink" Target="https://www.google.com/maps/search/?api=1&amp;query=%E3%83%96%E3%83%BC%E3%83%89%E3%83%AF%E3%83%BC%E3%83%AB%E3%83%93%E3%83%AB%20%E5%A4%A7%E9%98%AA%E5%BA%9C%E9%AB%98%E6%A7%BB%E5%B8%82%E5%8D%97%E5%B9%B3%E5%8F%B04-15-22" TargetMode="External"/><Relationship Id="rId28" Type="http://schemas.openxmlformats.org/officeDocument/2006/relationships/hyperlink" Target="https://www.google.com/maps/search/?api=1&amp;query=%E5%8D%97%E5%B9%B3%E5%8F%B0%E3%83%A4%E3%82%BF%E3%83%92%E3%83%AB%E3%82%BA2%20%E5%A4%A7%E9%98%AA%E5%BA%9C%E9%AB%98%E6%A7%BB%E5%B8%82%E5%8D%97%E5%B9%B3%E5%8F%B03-27-30" TargetMode="External"/><Relationship Id="rId29" Type="http://schemas.openxmlformats.org/officeDocument/2006/relationships/hyperlink" Target="https://www.google.com/maps/search/?api=1&amp;query=%E5%8D%97%E5%B9%B3%E5%8F%B0%E3%81%AE%E6%88%B8%E5%BB%BA%E3%81%A6%E3%83%BB%E5%B0%8F%E8%A6%8F%E6%A8%A1%E3%82%A2%E3%83%91%E3%83%BC%E3%83%88%E3%81%AB%E9%9D%A2%E9%85%8D%E3%82%8A%20%E5%A4%A7%E9%98%AA%E5%BA%9C%E9%AB%98%E6%A7%BB%E5%B8%82%E5%8D%97%E5%B9%B3%E5%8F%B01%E3%80%9C5%E4%B8%81%E7%9B%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2" max="2" width="5" customWidth="1"/>
    <col min="3" max="3" width="16" customWidth="1"/>
    <col min="4" max="5" width="18" customWidth="1"/>
    <col min="6" max="7" width="10" customWidth="1"/>
    <col min="8" max="8" width="12" customWidth="1"/>
    <col min="10" max="10" width="28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 t="s">
        <v>11</v>
      </c>
      <c r="B3" s="4">
        <v>1</v>
      </c>
      <c r="C3" s="5" t="s">
        <v>12</v>
      </c>
      <c r="D3" s="5" t="s">
        <v>13</v>
      </c>
      <c r="E3" s="4" t="s">
        <v>14</v>
      </c>
      <c r="F3" s="6" t="s">
        <v>15</v>
      </c>
      <c r="G3" s="5" t="s">
        <v>16</v>
      </c>
      <c r="H3" s="5" t="s">
        <v>16</v>
      </c>
      <c r="I3" s="4" t="s">
        <v>17</v>
      </c>
      <c r="J3" s="5" t="s">
        <v>18</v>
      </c>
    </row>
    <row r="4" spans="1:10" x14ac:dyDescent="0.25">
      <c r="A4" s="3" t="s">
        <v>11</v>
      </c>
      <c r="B4" s="4">
        <v>1</v>
      </c>
      <c r="C4" s="5" t="s">
        <v>12</v>
      </c>
      <c r="D4" s="5" t="s">
        <v>19</v>
      </c>
      <c r="E4" s="4" t="s">
        <v>14</v>
      </c>
      <c r="F4" s="6" t="s">
        <v>15</v>
      </c>
      <c r="G4" s="5" t="s">
        <v>16</v>
      </c>
      <c r="H4" s="5" t="s">
        <v>16</v>
      </c>
      <c r="I4" s="4" t="s">
        <v>17</v>
      </c>
      <c r="J4" s="5" t="s">
        <v>16</v>
      </c>
    </row>
    <row r="5" spans="1:10" x14ac:dyDescent="0.25">
      <c r="A5" s="3" t="s">
        <v>11</v>
      </c>
      <c r="B5" s="4">
        <v>1</v>
      </c>
      <c r="C5" s="5" t="s">
        <v>12</v>
      </c>
      <c r="D5" s="5" t="s">
        <v>20</v>
      </c>
      <c r="E5" s="4" t="s">
        <v>14</v>
      </c>
      <c r="F5" s="6" t="s">
        <v>15</v>
      </c>
      <c r="G5" s="5" t="s">
        <v>16</v>
      </c>
      <c r="H5" s="5" t="s">
        <v>16</v>
      </c>
      <c r="I5" s="4" t="s">
        <v>17</v>
      </c>
      <c r="J5" s="5" t="s">
        <v>16</v>
      </c>
    </row>
    <row r="6" spans="1:10" x14ac:dyDescent="0.25">
      <c r="A6" s="3" t="s">
        <v>11</v>
      </c>
      <c r="B6" s="4">
        <v>1</v>
      </c>
      <c r="C6" s="5" t="s">
        <v>12</v>
      </c>
      <c r="D6" s="5" t="s">
        <v>21</v>
      </c>
      <c r="E6" s="4" t="s">
        <v>14</v>
      </c>
      <c r="F6" s="6" t="s">
        <v>15</v>
      </c>
      <c r="G6" s="5" t="s">
        <v>16</v>
      </c>
      <c r="H6" s="5" t="s">
        <v>16</v>
      </c>
      <c r="I6" s="4" t="s">
        <v>17</v>
      </c>
      <c r="J6" s="5" t="s">
        <v>16</v>
      </c>
    </row>
    <row r="7" spans="1:10" x14ac:dyDescent="0.25">
      <c r="A7" s="3" t="s">
        <v>11</v>
      </c>
      <c r="B7" s="4">
        <v>1</v>
      </c>
      <c r="C7" s="5" t="s">
        <v>12</v>
      </c>
      <c r="D7" s="5" t="s">
        <v>22</v>
      </c>
      <c r="E7" s="4" t="s">
        <v>14</v>
      </c>
      <c r="F7" s="6" t="s">
        <v>15</v>
      </c>
      <c r="G7" s="5" t="s">
        <v>16</v>
      </c>
      <c r="H7" s="5" t="s">
        <v>16</v>
      </c>
      <c r="I7" s="4" t="s">
        <v>17</v>
      </c>
      <c r="J7" s="5" t="s">
        <v>23</v>
      </c>
    </row>
    <row r="8" spans="1:10" x14ac:dyDescent="0.25">
      <c r="A8" s="3" t="s">
        <v>11</v>
      </c>
      <c r="B8" s="4">
        <v>1</v>
      </c>
      <c r="C8" s="5" t="s">
        <v>12</v>
      </c>
      <c r="D8" s="5" t="s">
        <v>24</v>
      </c>
      <c r="E8" s="4" t="s">
        <v>14</v>
      </c>
      <c r="F8" s="6" t="s">
        <v>15</v>
      </c>
      <c r="G8" s="5" t="s">
        <v>16</v>
      </c>
      <c r="H8" s="5" t="s">
        <v>16</v>
      </c>
      <c r="I8" s="4" t="s">
        <v>17</v>
      </c>
      <c r="J8" s="5" t="s">
        <v>16</v>
      </c>
    </row>
    <row r="9" spans="1:10" x14ac:dyDescent="0.25">
      <c r="A9" s="3" t="s">
        <v>11</v>
      </c>
      <c r="B9" s="4">
        <v>1</v>
      </c>
      <c r="C9" s="5" t="s">
        <v>12</v>
      </c>
      <c r="D9" s="5" t="s">
        <v>25</v>
      </c>
      <c r="E9" s="4" t="s">
        <v>14</v>
      </c>
      <c r="F9" s="6" t="s">
        <v>15</v>
      </c>
      <c r="G9" s="5" t="s">
        <v>16</v>
      </c>
      <c r="H9" s="5" t="s">
        <v>16</v>
      </c>
      <c r="I9" s="4" t="s">
        <v>17</v>
      </c>
      <c r="J9" s="5" t="s">
        <v>26</v>
      </c>
    </row>
    <row r="10" spans="1:10" x14ac:dyDescent="0.25">
      <c r="A10" s="3" t="s">
        <v>11</v>
      </c>
      <c r="B10" s="4">
        <v>1</v>
      </c>
      <c r="C10" s="5" t="s">
        <v>12</v>
      </c>
      <c r="D10" s="5" t="s">
        <v>27</v>
      </c>
      <c r="E10" s="4" t="s">
        <v>14</v>
      </c>
      <c r="F10" s="6" t="s">
        <v>15</v>
      </c>
      <c r="G10" s="5" t="s">
        <v>16</v>
      </c>
      <c r="H10" s="5" t="s">
        <v>16</v>
      </c>
      <c r="I10" s="4" t="s">
        <v>17</v>
      </c>
      <c r="J10" s="5" t="s">
        <v>28</v>
      </c>
    </row>
    <row r="11" spans="1:10" x14ac:dyDescent="0.25">
      <c r="A11" s="3" t="s">
        <v>11</v>
      </c>
      <c r="B11" s="4">
        <v>1</v>
      </c>
      <c r="C11" s="5" t="s">
        <v>12</v>
      </c>
      <c r="D11" s="5" t="s">
        <v>29</v>
      </c>
      <c r="E11" s="4" t="s">
        <v>14</v>
      </c>
      <c r="F11" s="6" t="s">
        <v>15</v>
      </c>
      <c r="G11" s="5" t="s">
        <v>16</v>
      </c>
      <c r="H11" s="5" t="s">
        <v>16</v>
      </c>
      <c r="I11" s="4" t="s">
        <v>17</v>
      </c>
      <c r="J11" s="5" t="s">
        <v>30</v>
      </c>
    </row>
    <row r="12" spans="1:10" x14ac:dyDescent="0.25">
      <c r="A12" s="3" t="s">
        <v>11</v>
      </c>
      <c r="B12" s="4">
        <v>1</v>
      </c>
      <c r="C12" s="5" t="s">
        <v>12</v>
      </c>
      <c r="D12" s="5" t="s">
        <v>31</v>
      </c>
      <c r="E12" s="4" t="s">
        <v>14</v>
      </c>
      <c r="F12" s="6" t="s">
        <v>15</v>
      </c>
      <c r="G12" s="5" t="s">
        <v>16</v>
      </c>
      <c r="H12" s="5" t="s">
        <v>16</v>
      </c>
      <c r="I12" s="4" t="s">
        <v>17</v>
      </c>
      <c r="J12" s="5" t="s">
        <v>32</v>
      </c>
    </row>
    <row r="13" spans="1:10" x14ac:dyDescent="0.25">
      <c r="A13" s="3" t="s">
        <v>11</v>
      </c>
      <c r="B13" s="4">
        <v>1</v>
      </c>
      <c r="C13" s="5" t="s">
        <v>12</v>
      </c>
      <c r="D13" s="5" t="s">
        <v>33</v>
      </c>
      <c r="E13" s="4" t="s">
        <v>14</v>
      </c>
      <c r="F13" s="6" t="s">
        <v>15</v>
      </c>
      <c r="G13" s="5" t="s">
        <v>16</v>
      </c>
      <c r="H13" s="5" t="s">
        <v>16</v>
      </c>
      <c r="I13" s="4" t="s">
        <v>17</v>
      </c>
      <c r="J13" s="5" t="s">
        <v>16</v>
      </c>
    </row>
    <row r="14" spans="1:10" x14ac:dyDescent="0.25">
      <c r="A14" s="3" t="s">
        <v>11</v>
      </c>
      <c r="B14" s="4">
        <v>1</v>
      </c>
      <c r="C14" s="5" t="s">
        <v>12</v>
      </c>
      <c r="D14" s="5" t="s">
        <v>34</v>
      </c>
      <c r="E14" s="4" t="s">
        <v>14</v>
      </c>
      <c r="F14" s="6" t="s">
        <v>15</v>
      </c>
      <c r="G14" s="5" t="s">
        <v>16</v>
      </c>
      <c r="H14" s="5" t="s">
        <v>16</v>
      </c>
      <c r="I14" s="4" t="s">
        <v>17</v>
      </c>
      <c r="J14" s="5" t="s">
        <v>16</v>
      </c>
    </row>
    <row r="15" spans="1:10" x14ac:dyDescent="0.25">
      <c r="A15" s="3" t="s">
        <v>11</v>
      </c>
      <c r="B15" s="4">
        <v>1</v>
      </c>
      <c r="C15" s="5" t="s">
        <v>12</v>
      </c>
      <c r="D15" s="5" t="s">
        <v>35</v>
      </c>
      <c r="E15" s="4" t="s">
        <v>14</v>
      </c>
      <c r="F15" s="7" t="s">
        <v>36</v>
      </c>
      <c r="G15" s="5" t="s">
        <v>16</v>
      </c>
      <c r="H15" s="5" t="s">
        <v>16</v>
      </c>
      <c r="I15" s="4" t="s">
        <v>17</v>
      </c>
      <c r="J15" s="5" t="s">
        <v>16</v>
      </c>
    </row>
    <row r="16" spans="1:10" x14ac:dyDescent="0.25">
      <c r="A16" s="3" t="s">
        <v>11</v>
      </c>
      <c r="B16" s="4">
        <v>1</v>
      </c>
      <c r="C16" s="5" t="s">
        <v>12</v>
      </c>
      <c r="D16" s="5" t="s">
        <v>37</v>
      </c>
      <c r="E16" s="4" t="s">
        <v>14</v>
      </c>
      <c r="F16" s="7" t="s">
        <v>36</v>
      </c>
      <c r="G16" s="5" t="s">
        <v>16</v>
      </c>
      <c r="H16" s="5" t="s">
        <v>16</v>
      </c>
      <c r="I16" s="4" t="s">
        <v>17</v>
      </c>
      <c r="J16" s="5" t="s">
        <v>16</v>
      </c>
    </row>
    <row r="17" spans="1:10" x14ac:dyDescent="0.25">
      <c r="A17" s="3" t="s">
        <v>11</v>
      </c>
      <c r="B17" s="4">
        <v>2</v>
      </c>
      <c r="C17" s="5" t="s">
        <v>12</v>
      </c>
      <c r="D17" s="5" t="s">
        <v>38</v>
      </c>
      <c r="E17" s="4" t="s">
        <v>39</v>
      </c>
      <c r="F17" s="7" t="s">
        <v>36</v>
      </c>
      <c r="G17" s="5" t="s">
        <v>16</v>
      </c>
      <c r="H17" s="5" t="s">
        <v>16</v>
      </c>
      <c r="I17" s="4" t="s">
        <v>17</v>
      </c>
      <c r="J17" s="5" t="s">
        <v>16</v>
      </c>
    </row>
    <row r="18" spans="1:10" x14ac:dyDescent="0.25">
      <c r="A18" s="3" t="s">
        <v>11</v>
      </c>
      <c r="B18" s="4">
        <v>2</v>
      </c>
      <c r="C18" s="5" t="s">
        <v>12</v>
      </c>
      <c r="D18" s="5" t="s">
        <v>40</v>
      </c>
      <c r="E18" s="4" t="s">
        <v>39</v>
      </c>
      <c r="F18" s="7" t="s">
        <v>36</v>
      </c>
      <c r="G18" s="5" t="s">
        <v>16</v>
      </c>
      <c r="H18" s="5" t="s">
        <v>16</v>
      </c>
      <c r="I18" s="4" t="s">
        <v>17</v>
      </c>
      <c r="J18" s="5" t="s">
        <v>16</v>
      </c>
    </row>
    <row r="19" spans="1:10" x14ac:dyDescent="0.25">
      <c r="A19" s="3" t="s">
        <v>11</v>
      </c>
      <c r="B19" s="4">
        <v>2</v>
      </c>
      <c r="C19" s="5" t="s">
        <v>12</v>
      </c>
      <c r="D19" s="5" t="s">
        <v>41</v>
      </c>
      <c r="E19" s="4" t="s">
        <v>39</v>
      </c>
      <c r="F19" s="7" t="s">
        <v>36</v>
      </c>
      <c r="G19" s="5" t="s">
        <v>16</v>
      </c>
      <c r="H19" s="5" t="s">
        <v>16</v>
      </c>
      <c r="I19" s="4" t="s">
        <v>17</v>
      </c>
      <c r="J19" s="5" t="s">
        <v>16</v>
      </c>
    </row>
    <row r="20" spans="1:10" x14ac:dyDescent="0.25">
      <c r="A20" s="3" t="s">
        <v>11</v>
      </c>
      <c r="B20" s="4">
        <v>2</v>
      </c>
      <c r="C20" s="5" t="s">
        <v>12</v>
      </c>
      <c r="D20" s="5" t="s">
        <v>42</v>
      </c>
      <c r="E20" s="4" t="s">
        <v>39</v>
      </c>
      <c r="F20" s="7" t="s">
        <v>36</v>
      </c>
      <c r="G20" s="5" t="s">
        <v>16</v>
      </c>
      <c r="H20" s="5" t="s">
        <v>16</v>
      </c>
      <c r="I20" s="4" t="s">
        <v>17</v>
      </c>
      <c r="J20" s="5" t="s">
        <v>16</v>
      </c>
    </row>
    <row r="21" spans="1:10" x14ac:dyDescent="0.25">
      <c r="A21" s="3" t="s">
        <v>11</v>
      </c>
      <c r="B21" s="4">
        <v>2</v>
      </c>
      <c r="C21" s="5" t="s">
        <v>12</v>
      </c>
      <c r="D21" s="5" t="s">
        <v>43</v>
      </c>
      <c r="E21" s="4" t="s">
        <v>39</v>
      </c>
      <c r="F21" s="7" t="s">
        <v>36</v>
      </c>
      <c r="G21" s="5" t="s">
        <v>16</v>
      </c>
      <c r="H21" s="5" t="s">
        <v>16</v>
      </c>
      <c r="I21" s="4" t="s">
        <v>17</v>
      </c>
      <c r="J21" s="5" t="s">
        <v>16</v>
      </c>
    </row>
    <row r="22" spans="1:10" x14ac:dyDescent="0.25">
      <c r="A22" s="3" t="s">
        <v>11</v>
      </c>
      <c r="B22" s="4">
        <v>2</v>
      </c>
      <c r="C22" s="5" t="s">
        <v>12</v>
      </c>
      <c r="D22" s="5" t="s">
        <v>44</v>
      </c>
      <c r="E22" s="4" t="s">
        <v>39</v>
      </c>
      <c r="F22" s="7" t="s">
        <v>36</v>
      </c>
      <c r="G22" s="5" t="s">
        <v>16</v>
      </c>
      <c r="H22" s="5" t="s">
        <v>16</v>
      </c>
      <c r="I22" s="4" t="s">
        <v>17</v>
      </c>
      <c r="J22" s="5" t="s">
        <v>16</v>
      </c>
    </row>
    <row r="23" spans="1:10" x14ac:dyDescent="0.25">
      <c r="A23" s="3" t="s">
        <v>11</v>
      </c>
      <c r="B23" s="4">
        <v>2</v>
      </c>
      <c r="C23" s="5" t="s">
        <v>12</v>
      </c>
      <c r="D23" s="5" t="s">
        <v>45</v>
      </c>
      <c r="E23" s="4" t="s">
        <v>39</v>
      </c>
      <c r="F23" s="7" t="s">
        <v>36</v>
      </c>
      <c r="G23" s="5" t="s">
        <v>16</v>
      </c>
      <c r="H23" s="5" t="s">
        <v>16</v>
      </c>
      <c r="I23" s="4" t="s">
        <v>17</v>
      </c>
      <c r="J23" s="5" t="s">
        <v>16</v>
      </c>
    </row>
    <row r="24" spans="1:10" x14ac:dyDescent="0.25">
      <c r="A24" s="3" t="s">
        <v>11</v>
      </c>
      <c r="B24" s="4">
        <v>2</v>
      </c>
      <c r="C24" s="5" t="s">
        <v>12</v>
      </c>
      <c r="D24" s="5" t="s">
        <v>46</v>
      </c>
      <c r="E24" s="4" t="s">
        <v>39</v>
      </c>
      <c r="F24" s="7" t="s">
        <v>36</v>
      </c>
      <c r="G24" s="5" t="s">
        <v>16</v>
      </c>
      <c r="H24" s="5" t="s">
        <v>16</v>
      </c>
      <c r="I24" s="4" t="s">
        <v>17</v>
      </c>
      <c r="J24" s="5" t="s">
        <v>16</v>
      </c>
    </row>
    <row r="25" spans="1:10" x14ac:dyDescent="0.25">
      <c r="A25" s="8" t="s">
        <v>47</v>
      </c>
      <c r="B25" s="4">
        <v>1</v>
      </c>
      <c r="C25" s="5" t="s">
        <v>48</v>
      </c>
      <c r="D25" s="5" t="s">
        <v>49</v>
      </c>
      <c r="E25" s="4" t="s">
        <v>14</v>
      </c>
      <c r="F25" s="6" t="s">
        <v>15</v>
      </c>
      <c r="G25" s="5" t="s">
        <v>16</v>
      </c>
      <c r="H25" s="5" t="s">
        <v>16</v>
      </c>
      <c r="I25" s="4" t="s">
        <v>17</v>
      </c>
      <c r="J25" s="5" t="s">
        <v>50</v>
      </c>
    </row>
    <row r="26" spans="1:10" x14ac:dyDescent="0.25">
      <c r="A26" s="8" t="s">
        <v>47</v>
      </c>
      <c r="B26" s="4">
        <v>1</v>
      </c>
      <c r="C26" s="5" t="s">
        <v>48</v>
      </c>
      <c r="D26" s="5" t="s">
        <v>51</v>
      </c>
      <c r="E26" s="4" t="s">
        <v>14</v>
      </c>
      <c r="F26" s="6" t="s">
        <v>15</v>
      </c>
      <c r="G26" s="5" t="s">
        <v>16</v>
      </c>
      <c r="H26" s="5" t="s">
        <v>16</v>
      </c>
      <c r="I26" s="4" t="s">
        <v>17</v>
      </c>
      <c r="J26" s="5" t="s">
        <v>16</v>
      </c>
    </row>
    <row r="27" spans="1:10" x14ac:dyDescent="0.25">
      <c r="A27" s="8" t="s">
        <v>47</v>
      </c>
      <c r="B27" s="4">
        <v>1</v>
      </c>
      <c r="C27" s="5" t="s">
        <v>48</v>
      </c>
      <c r="D27" s="5" t="s">
        <v>52</v>
      </c>
      <c r="E27" s="4" t="s">
        <v>14</v>
      </c>
      <c r="F27" s="6" t="s">
        <v>15</v>
      </c>
      <c r="G27" s="5" t="s">
        <v>16</v>
      </c>
      <c r="H27" s="5" t="s">
        <v>16</v>
      </c>
      <c r="I27" s="4" t="s">
        <v>17</v>
      </c>
      <c r="J27" s="5" t="s">
        <v>16</v>
      </c>
    </row>
    <row r="28" spans="1:10" x14ac:dyDescent="0.25">
      <c r="A28" s="8" t="s">
        <v>47</v>
      </c>
      <c r="B28" s="4">
        <v>1</v>
      </c>
      <c r="C28" s="5" t="s">
        <v>48</v>
      </c>
      <c r="D28" s="5" t="s">
        <v>53</v>
      </c>
      <c r="E28" s="4" t="s">
        <v>14</v>
      </c>
      <c r="F28" s="6" t="s">
        <v>15</v>
      </c>
      <c r="G28" s="5" t="s">
        <v>16</v>
      </c>
      <c r="H28" s="5" t="s">
        <v>16</v>
      </c>
      <c r="I28" s="4" t="s">
        <v>17</v>
      </c>
      <c r="J28" s="5" t="s">
        <v>16</v>
      </c>
    </row>
    <row r="29" spans="1:10" x14ac:dyDescent="0.25">
      <c r="A29" s="8" t="s">
        <v>47</v>
      </c>
      <c r="B29" s="4">
        <v>1</v>
      </c>
      <c r="C29" s="5" t="s">
        <v>48</v>
      </c>
      <c r="D29" s="5" t="s">
        <v>54</v>
      </c>
      <c r="E29" s="4" t="s">
        <v>14</v>
      </c>
      <c r="F29" s="6" t="s">
        <v>15</v>
      </c>
      <c r="G29" s="5" t="s">
        <v>16</v>
      </c>
      <c r="H29" s="5" t="s">
        <v>16</v>
      </c>
      <c r="I29" s="4" t="s">
        <v>17</v>
      </c>
      <c r="J29" s="5" t="s">
        <v>16</v>
      </c>
    </row>
    <row r="30" spans="1:10" x14ac:dyDescent="0.25">
      <c r="A30" s="8" t="s">
        <v>47</v>
      </c>
      <c r="B30" s="4">
        <v>1</v>
      </c>
      <c r="C30" s="5" t="s">
        <v>48</v>
      </c>
      <c r="D30" s="5" t="s">
        <v>55</v>
      </c>
      <c r="E30" s="4" t="s">
        <v>14</v>
      </c>
      <c r="F30" s="6" t="s">
        <v>15</v>
      </c>
      <c r="G30" s="5" t="s">
        <v>16</v>
      </c>
      <c r="H30" s="5" t="s">
        <v>16</v>
      </c>
      <c r="I30" s="4" t="s">
        <v>17</v>
      </c>
      <c r="J30" s="5" t="s">
        <v>16</v>
      </c>
    </row>
    <row r="31" spans="1:10" x14ac:dyDescent="0.25">
      <c r="A31" s="8" t="s">
        <v>47</v>
      </c>
      <c r="B31" s="4">
        <v>1</v>
      </c>
      <c r="C31" s="5" t="s">
        <v>48</v>
      </c>
      <c r="D31" s="5" t="s">
        <v>56</v>
      </c>
      <c r="E31" s="4" t="s">
        <v>14</v>
      </c>
      <c r="F31" s="6" t="s">
        <v>15</v>
      </c>
      <c r="G31" s="5" t="s">
        <v>16</v>
      </c>
      <c r="H31" s="5" t="s">
        <v>16</v>
      </c>
      <c r="I31" s="4" t="s">
        <v>17</v>
      </c>
      <c r="J31" s="5" t="s">
        <v>57</v>
      </c>
    </row>
    <row r="32" spans="1:10" x14ac:dyDescent="0.25">
      <c r="A32" s="8" t="s">
        <v>47</v>
      </c>
      <c r="B32" s="4">
        <v>1</v>
      </c>
      <c r="C32" s="5" t="s">
        <v>48</v>
      </c>
      <c r="D32" s="5" t="s">
        <v>58</v>
      </c>
      <c r="E32" s="4" t="s">
        <v>14</v>
      </c>
      <c r="F32" s="6" t="s">
        <v>15</v>
      </c>
      <c r="G32" s="5" t="s">
        <v>16</v>
      </c>
      <c r="H32" s="5" t="s">
        <v>16</v>
      </c>
      <c r="I32" s="4" t="s">
        <v>17</v>
      </c>
      <c r="J32" s="5" t="s">
        <v>16</v>
      </c>
    </row>
    <row r="33" spans="1:10" x14ac:dyDescent="0.25">
      <c r="A33" s="8" t="s">
        <v>47</v>
      </c>
      <c r="B33" s="4">
        <v>1</v>
      </c>
      <c r="C33" s="5" t="s">
        <v>48</v>
      </c>
      <c r="D33" s="5" t="s">
        <v>59</v>
      </c>
      <c r="E33" s="4" t="s">
        <v>14</v>
      </c>
      <c r="F33" s="6" t="s">
        <v>15</v>
      </c>
      <c r="G33" s="5" t="s">
        <v>16</v>
      </c>
      <c r="H33" s="5" t="s">
        <v>16</v>
      </c>
      <c r="I33" s="4" t="s">
        <v>17</v>
      </c>
      <c r="J33" s="5" t="s">
        <v>16</v>
      </c>
    </row>
    <row r="34" spans="1:10" x14ac:dyDescent="0.25">
      <c r="A34" s="8" t="s">
        <v>47</v>
      </c>
      <c r="B34" s="4">
        <v>1</v>
      </c>
      <c r="C34" s="5" t="s">
        <v>48</v>
      </c>
      <c r="D34" s="5" t="s">
        <v>60</v>
      </c>
      <c r="E34" s="4" t="s">
        <v>14</v>
      </c>
      <c r="F34" s="7" t="s">
        <v>36</v>
      </c>
      <c r="G34" s="5" t="s">
        <v>16</v>
      </c>
      <c r="H34" s="5" t="s">
        <v>16</v>
      </c>
      <c r="I34" s="4" t="s">
        <v>17</v>
      </c>
      <c r="J34" s="5" t="s">
        <v>16</v>
      </c>
    </row>
    <row r="35" spans="1:10" x14ac:dyDescent="0.25">
      <c r="A35" s="8" t="s">
        <v>47</v>
      </c>
      <c r="B35" s="4">
        <v>1</v>
      </c>
      <c r="C35" s="5" t="s">
        <v>48</v>
      </c>
      <c r="D35" s="5" t="s">
        <v>61</v>
      </c>
      <c r="E35" s="4" t="s">
        <v>14</v>
      </c>
      <c r="F35" s="7" t="s">
        <v>36</v>
      </c>
      <c r="G35" s="5" t="s">
        <v>16</v>
      </c>
      <c r="H35" s="5" t="s">
        <v>16</v>
      </c>
      <c r="I35" s="4" t="s">
        <v>17</v>
      </c>
      <c r="J35" s="5" t="s">
        <v>16</v>
      </c>
    </row>
    <row r="36" spans="1:10" x14ac:dyDescent="0.25">
      <c r="A36" s="8" t="s">
        <v>47</v>
      </c>
      <c r="B36" s="4">
        <v>1</v>
      </c>
      <c r="C36" s="5" t="s">
        <v>48</v>
      </c>
      <c r="D36" s="5" t="s">
        <v>62</v>
      </c>
      <c r="E36" s="4" t="s">
        <v>14</v>
      </c>
      <c r="F36" s="7" t="s">
        <v>36</v>
      </c>
      <c r="G36" s="5" t="s">
        <v>16</v>
      </c>
      <c r="H36" s="5" t="s">
        <v>16</v>
      </c>
      <c r="I36" s="4" t="s">
        <v>17</v>
      </c>
      <c r="J36" s="5" t="s">
        <v>16</v>
      </c>
    </row>
    <row r="37" spans="1:10" x14ac:dyDescent="0.25">
      <c r="A37" s="9" t="s">
        <v>63</v>
      </c>
      <c r="B37" s="4">
        <v>1</v>
      </c>
      <c r="C37" s="5" t="s">
        <v>64</v>
      </c>
      <c r="D37" s="5" t="s">
        <v>65</v>
      </c>
      <c r="E37" s="4" t="s">
        <v>14</v>
      </c>
      <c r="F37" s="7" t="s">
        <v>36</v>
      </c>
      <c r="G37" s="5" t="s">
        <v>16</v>
      </c>
      <c r="H37" s="5" t="s">
        <v>16</v>
      </c>
      <c r="I37" s="4" t="s">
        <v>17</v>
      </c>
      <c r="J37" s="5" t="s">
        <v>66</v>
      </c>
    </row>
    <row r="38" spans="1:10" x14ac:dyDescent="0.25">
      <c r="A38" s="9" t="s">
        <v>63</v>
      </c>
      <c r="B38" s="4">
        <v>1</v>
      </c>
      <c r="C38" s="5" t="s">
        <v>64</v>
      </c>
      <c r="D38" s="5" t="s">
        <v>67</v>
      </c>
      <c r="E38" s="4" t="s">
        <v>14</v>
      </c>
      <c r="F38" s="7" t="s">
        <v>36</v>
      </c>
      <c r="G38" s="5" t="s">
        <v>16</v>
      </c>
      <c r="H38" s="5" t="s">
        <v>16</v>
      </c>
      <c r="I38" s="4" t="s">
        <v>17</v>
      </c>
      <c r="J38" s="5" t="s">
        <v>16</v>
      </c>
    </row>
    <row r="39" spans="1:10" x14ac:dyDescent="0.25">
      <c r="A39" s="9" t="s">
        <v>63</v>
      </c>
      <c r="B39" s="4">
        <v>1</v>
      </c>
      <c r="C39" s="5" t="s">
        <v>64</v>
      </c>
      <c r="D39" s="5" t="s">
        <v>68</v>
      </c>
      <c r="E39" s="4" t="s">
        <v>14</v>
      </c>
      <c r="F39" s="7" t="s">
        <v>36</v>
      </c>
      <c r="G39" s="5" t="s">
        <v>16</v>
      </c>
      <c r="H39" s="5" t="s">
        <v>16</v>
      </c>
      <c r="I39" s="4" t="s">
        <v>17</v>
      </c>
      <c r="J39" s="5" t="s">
        <v>16</v>
      </c>
    </row>
    <row r="40" spans="1:10" x14ac:dyDescent="0.25">
      <c r="A40" s="9" t="s">
        <v>63</v>
      </c>
      <c r="B40" s="4">
        <v>1</v>
      </c>
      <c r="C40" s="5" t="s">
        <v>64</v>
      </c>
      <c r="D40" s="5" t="s">
        <v>69</v>
      </c>
      <c r="E40" s="4" t="s">
        <v>14</v>
      </c>
      <c r="F40" s="7" t="s">
        <v>36</v>
      </c>
      <c r="G40" s="5" t="s">
        <v>16</v>
      </c>
      <c r="H40" s="5" t="s">
        <v>16</v>
      </c>
      <c r="I40" s="4" t="s">
        <v>17</v>
      </c>
      <c r="J40" s="5" t="s">
        <v>16</v>
      </c>
    </row>
    <row r="41" spans="1:10" x14ac:dyDescent="0.25">
      <c r="A41" s="9" t="s">
        <v>63</v>
      </c>
      <c r="B41" s="4">
        <v>1</v>
      </c>
      <c r="C41" s="5" t="s">
        <v>64</v>
      </c>
      <c r="D41" s="5" t="s">
        <v>70</v>
      </c>
      <c r="E41" s="4" t="s">
        <v>14</v>
      </c>
      <c r="F41" s="7" t="s">
        <v>36</v>
      </c>
      <c r="G41" s="5" t="s">
        <v>16</v>
      </c>
      <c r="H41" s="5" t="s">
        <v>16</v>
      </c>
      <c r="I41" s="4" t="s">
        <v>17</v>
      </c>
      <c r="J41" s="5" t="s">
        <v>16</v>
      </c>
    </row>
    <row r="42" spans="1:10" x14ac:dyDescent="0.25">
      <c r="A42" s="9" t="s">
        <v>63</v>
      </c>
      <c r="B42" s="4">
        <v>1</v>
      </c>
      <c r="C42" s="5" t="s">
        <v>64</v>
      </c>
      <c r="D42" s="5" t="s">
        <v>71</v>
      </c>
      <c r="E42" s="4" t="s">
        <v>14</v>
      </c>
      <c r="F42" s="7" t="s">
        <v>36</v>
      </c>
      <c r="G42" s="5" t="s">
        <v>16</v>
      </c>
      <c r="H42" s="5" t="s">
        <v>16</v>
      </c>
      <c r="I42" s="4" t="s">
        <v>17</v>
      </c>
      <c r="J42" s="5" t="s">
        <v>16</v>
      </c>
    </row>
    <row r="43" spans="1:10" x14ac:dyDescent="0.25">
      <c r="A43" s="9" t="s">
        <v>63</v>
      </c>
      <c r="B43" s="4">
        <v>1</v>
      </c>
      <c r="C43" s="5" t="s">
        <v>64</v>
      </c>
      <c r="D43" s="5" t="s">
        <v>72</v>
      </c>
      <c r="E43" s="4" t="s">
        <v>14</v>
      </c>
      <c r="F43" s="7" t="s">
        <v>36</v>
      </c>
      <c r="G43" s="5" t="s">
        <v>16</v>
      </c>
      <c r="H43" s="5" t="s">
        <v>16</v>
      </c>
      <c r="I43" s="4" t="s">
        <v>17</v>
      </c>
      <c r="J43" s="5" t="s">
        <v>16</v>
      </c>
    </row>
    <row r="44" spans="1:10" x14ac:dyDescent="0.25">
      <c r="A44" s="9" t="s">
        <v>63</v>
      </c>
      <c r="B44" s="4">
        <v>1</v>
      </c>
      <c r="C44" s="5" t="s">
        <v>64</v>
      </c>
      <c r="D44" s="5" t="s">
        <v>73</v>
      </c>
      <c r="E44" s="4" t="s">
        <v>14</v>
      </c>
      <c r="F44" s="10" t="s">
        <v>74</v>
      </c>
      <c r="G44" s="5" t="s">
        <v>16</v>
      </c>
      <c r="H44" s="5" t="s">
        <v>16</v>
      </c>
      <c r="I44" s="4" t="s">
        <v>17</v>
      </c>
      <c r="J44" s="5" t="s">
        <v>16</v>
      </c>
    </row>
    <row r="45" spans="1:10" x14ac:dyDescent="0.25">
      <c r="A45" s="11" t="s">
        <v>75</v>
      </c>
      <c r="B45" s="4">
        <v>1</v>
      </c>
      <c r="C45" s="5" t="s">
        <v>76</v>
      </c>
      <c r="D45" s="5" t="s">
        <v>77</v>
      </c>
      <c r="E45" s="4" t="s">
        <v>14</v>
      </c>
      <c r="F45" s="7" t="s">
        <v>36</v>
      </c>
      <c r="G45" s="5" t="s">
        <v>16</v>
      </c>
      <c r="H45" s="5" t="s">
        <v>16</v>
      </c>
      <c r="I45" s="4" t="s">
        <v>17</v>
      </c>
      <c r="J45" s="5" t="s">
        <v>78</v>
      </c>
    </row>
    <row r="46" spans="1:10" x14ac:dyDescent="0.25">
      <c r="A46" s="11" t="s">
        <v>75</v>
      </c>
      <c r="B46" s="4">
        <v>1</v>
      </c>
      <c r="C46" s="5" t="s">
        <v>76</v>
      </c>
      <c r="D46" s="5" t="s">
        <v>79</v>
      </c>
      <c r="E46" s="4" t="s">
        <v>14</v>
      </c>
      <c r="F46" s="7" t="s">
        <v>36</v>
      </c>
      <c r="G46" s="5" t="s">
        <v>16</v>
      </c>
      <c r="H46" s="5" t="s">
        <v>16</v>
      </c>
      <c r="I46" s="4" t="s">
        <v>17</v>
      </c>
      <c r="J46" s="5" t="s">
        <v>80</v>
      </c>
    </row>
    <row r="47" spans="1:10" x14ac:dyDescent="0.25">
      <c r="A47" s="11" t="s">
        <v>75</v>
      </c>
      <c r="B47" s="4">
        <v>1</v>
      </c>
      <c r="C47" s="5" t="s">
        <v>76</v>
      </c>
      <c r="D47" s="5" t="s">
        <v>81</v>
      </c>
      <c r="E47" s="4" t="s">
        <v>14</v>
      </c>
      <c r="F47" s="7" t="s">
        <v>36</v>
      </c>
      <c r="G47" s="5" t="s">
        <v>16</v>
      </c>
      <c r="H47" s="5" t="s">
        <v>16</v>
      </c>
      <c r="I47" s="4" t="s">
        <v>17</v>
      </c>
      <c r="J47" s="5" t="s">
        <v>82</v>
      </c>
    </row>
    <row r="48" spans="1:10" x14ac:dyDescent="0.25">
      <c r="A48" s="11" t="s">
        <v>75</v>
      </c>
      <c r="B48" s="4">
        <v>1</v>
      </c>
      <c r="C48" s="5" t="s">
        <v>76</v>
      </c>
      <c r="D48" s="5" t="s">
        <v>83</v>
      </c>
      <c r="E48" s="4" t="s">
        <v>14</v>
      </c>
      <c r="F48" s="7" t="s">
        <v>36</v>
      </c>
      <c r="G48" s="5" t="s">
        <v>16</v>
      </c>
      <c r="H48" s="5" t="s">
        <v>16</v>
      </c>
      <c r="I48" s="4" t="s">
        <v>17</v>
      </c>
      <c r="J48" s="5" t="s">
        <v>16</v>
      </c>
    </row>
    <row r="49" spans="1:10" x14ac:dyDescent="0.25">
      <c r="A49" s="11" t="s">
        <v>75</v>
      </c>
      <c r="B49" s="4">
        <v>1</v>
      </c>
      <c r="C49" s="5" t="s">
        <v>76</v>
      </c>
      <c r="D49" s="5" t="s">
        <v>84</v>
      </c>
      <c r="E49" s="4" t="s">
        <v>14</v>
      </c>
      <c r="F49" s="7" t="s">
        <v>36</v>
      </c>
      <c r="G49" s="5" t="s">
        <v>16</v>
      </c>
      <c r="H49" s="5" t="s">
        <v>16</v>
      </c>
      <c r="I49" s="4" t="s">
        <v>17</v>
      </c>
      <c r="J49" s="5" t="s">
        <v>16</v>
      </c>
    </row>
    <row r="50" spans="1:10" x14ac:dyDescent="0.25">
      <c r="A50" s="11" t="s">
        <v>75</v>
      </c>
      <c r="B50" s="4">
        <v>1</v>
      </c>
      <c r="C50" s="5" t="s">
        <v>76</v>
      </c>
      <c r="D50" s="5" t="s">
        <v>85</v>
      </c>
      <c r="E50" s="4" t="s">
        <v>14</v>
      </c>
      <c r="F50" s="7" t="s">
        <v>36</v>
      </c>
      <c r="G50" s="5" t="s">
        <v>16</v>
      </c>
      <c r="H50" s="5" t="s">
        <v>16</v>
      </c>
      <c r="I50" s="4" t="s">
        <v>17</v>
      </c>
      <c r="J50" s="5" t="s">
        <v>86</v>
      </c>
    </row>
    <row r="51" spans="1:10" x14ac:dyDescent="0.25">
      <c r="A51" s="11" t="s">
        <v>75</v>
      </c>
      <c r="B51" s="4">
        <v>1</v>
      </c>
      <c r="C51" s="5" t="s">
        <v>76</v>
      </c>
      <c r="D51" s="5" t="s">
        <v>87</v>
      </c>
      <c r="E51" s="4" t="s">
        <v>14</v>
      </c>
      <c r="F51" s="7" t="s">
        <v>36</v>
      </c>
      <c r="G51" s="5" t="s">
        <v>16</v>
      </c>
      <c r="H51" s="5" t="s">
        <v>16</v>
      </c>
      <c r="I51" s="4" t="s">
        <v>17</v>
      </c>
      <c r="J51" s="5" t="s">
        <v>86</v>
      </c>
    </row>
    <row r="52" spans="1:10" x14ac:dyDescent="0.25">
      <c r="A52" s="11" t="s">
        <v>75</v>
      </c>
      <c r="B52" s="4">
        <v>1</v>
      </c>
      <c r="C52" s="5" t="s">
        <v>76</v>
      </c>
      <c r="D52" s="5" t="s">
        <v>88</v>
      </c>
      <c r="E52" s="4" t="s">
        <v>14</v>
      </c>
      <c r="F52" s="10" t="s">
        <v>74</v>
      </c>
      <c r="G52" s="5" t="s">
        <v>16</v>
      </c>
      <c r="H52" s="5" t="s">
        <v>16</v>
      </c>
      <c r="I52" s="4" t="s">
        <v>17</v>
      </c>
      <c r="J52" s="5" t="s">
        <v>16</v>
      </c>
    </row>
    <row r="53" spans="1:10" x14ac:dyDescent="0.25">
      <c r="A53" s="11" t="s">
        <v>75</v>
      </c>
      <c r="B53" s="4">
        <v>1</v>
      </c>
      <c r="C53" s="5" t="s">
        <v>76</v>
      </c>
      <c r="D53" s="5" t="s">
        <v>89</v>
      </c>
      <c r="E53" s="4" t="s">
        <v>14</v>
      </c>
      <c r="F53" s="10" t="s">
        <v>74</v>
      </c>
      <c r="G53" s="5" t="s">
        <v>16</v>
      </c>
      <c r="H53" s="5" t="s">
        <v>16</v>
      </c>
      <c r="I53" s="4" t="s">
        <v>17</v>
      </c>
      <c r="J53" s="5" t="s">
        <v>16</v>
      </c>
    </row>
    <row r="54" spans="1:10" x14ac:dyDescent="0.25">
      <c r="A54" s="11" t="s">
        <v>75</v>
      </c>
      <c r="B54" s="4">
        <v>1</v>
      </c>
      <c r="C54" s="5" t="s">
        <v>76</v>
      </c>
      <c r="D54" s="5" t="s">
        <v>90</v>
      </c>
      <c r="E54" s="4" t="s">
        <v>14</v>
      </c>
      <c r="F54" s="10" t="s">
        <v>74</v>
      </c>
      <c r="G54" s="5" t="s">
        <v>16</v>
      </c>
      <c r="H54" s="5" t="s">
        <v>16</v>
      </c>
      <c r="I54" s="4" t="s">
        <v>17</v>
      </c>
      <c r="J54" s="5" t="s">
        <v>16</v>
      </c>
    </row>
    <row r="55" spans="1:10" x14ac:dyDescent="0.25">
      <c r="A55" s="11" t="s">
        <v>75</v>
      </c>
      <c r="B55" s="4">
        <v>2</v>
      </c>
      <c r="C55" s="5" t="s">
        <v>76</v>
      </c>
      <c r="D55" s="5" t="s">
        <v>91</v>
      </c>
      <c r="E55" s="4" t="s">
        <v>39</v>
      </c>
      <c r="F55" s="10" t="s">
        <v>74</v>
      </c>
      <c r="G55" s="5" t="s">
        <v>16</v>
      </c>
      <c r="H55" s="5" t="s">
        <v>16</v>
      </c>
      <c r="I55" s="4" t="s">
        <v>17</v>
      </c>
      <c r="J55" s="5" t="s">
        <v>16</v>
      </c>
    </row>
    <row r="56" spans="1:10" x14ac:dyDescent="0.25">
      <c r="A56" s="12" t="s">
        <v>92</v>
      </c>
      <c r="B56" s="4">
        <v>1</v>
      </c>
      <c r="C56" s="5" t="s">
        <v>93</v>
      </c>
      <c r="D56" s="5" t="s">
        <v>94</v>
      </c>
      <c r="E56" s="4" t="s">
        <v>14</v>
      </c>
      <c r="F56" s="7" t="s">
        <v>36</v>
      </c>
      <c r="G56" s="5" t="s">
        <v>16</v>
      </c>
      <c r="H56" s="5" t="s">
        <v>16</v>
      </c>
      <c r="I56" s="4" t="s">
        <v>17</v>
      </c>
      <c r="J56" s="5" t="s">
        <v>95</v>
      </c>
    </row>
    <row r="57" spans="1:10" x14ac:dyDescent="0.25">
      <c r="A57" s="12" t="s">
        <v>92</v>
      </c>
      <c r="B57" s="4">
        <v>1</v>
      </c>
      <c r="C57" s="5" t="s">
        <v>93</v>
      </c>
      <c r="D57" s="5" t="s">
        <v>96</v>
      </c>
      <c r="E57" s="4" t="s">
        <v>14</v>
      </c>
      <c r="F57" s="7" t="s">
        <v>36</v>
      </c>
      <c r="G57" s="5" t="s">
        <v>16</v>
      </c>
      <c r="H57" s="5" t="s">
        <v>16</v>
      </c>
      <c r="I57" s="4" t="s">
        <v>17</v>
      </c>
      <c r="J57" s="5" t="s">
        <v>16</v>
      </c>
    </row>
    <row r="58" spans="1:10" x14ac:dyDescent="0.25">
      <c r="A58" s="12" t="s">
        <v>92</v>
      </c>
      <c r="B58" s="4">
        <v>1</v>
      </c>
      <c r="C58" s="5" t="s">
        <v>93</v>
      </c>
      <c r="D58" s="5" t="s">
        <v>97</v>
      </c>
      <c r="E58" s="4" t="s">
        <v>14</v>
      </c>
      <c r="F58" s="7" t="s">
        <v>36</v>
      </c>
      <c r="G58" s="5" t="s">
        <v>16</v>
      </c>
      <c r="H58" s="5" t="s">
        <v>16</v>
      </c>
      <c r="I58" s="4" t="s">
        <v>17</v>
      </c>
      <c r="J58" s="5" t="s">
        <v>16</v>
      </c>
    </row>
    <row r="59" spans="1:10" x14ac:dyDescent="0.25">
      <c r="A59" s="12" t="s">
        <v>92</v>
      </c>
      <c r="B59" s="4">
        <v>1</v>
      </c>
      <c r="C59" s="5" t="s">
        <v>93</v>
      </c>
      <c r="D59" s="5" t="s">
        <v>98</v>
      </c>
      <c r="E59" s="4" t="s">
        <v>14</v>
      </c>
      <c r="F59" s="7" t="s">
        <v>36</v>
      </c>
      <c r="G59" s="5" t="s">
        <v>16</v>
      </c>
      <c r="H59" s="5" t="s">
        <v>16</v>
      </c>
      <c r="I59" s="4" t="s">
        <v>17</v>
      </c>
      <c r="J59" s="5" t="s">
        <v>16</v>
      </c>
    </row>
    <row r="60" spans="1:10" x14ac:dyDescent="0.25">
      <c r="A60" s="12" t="s">
        <v>92</v>
      </c>
      <c r="B60" s="4">
        <v>1</v>
      </c>
      <c r="C60" s="5" t="s">
        <v>93</v>
      </c>
      <c r="D60" s="5" t="s">
        <v>99</v>
      </c>
      <c r="E60" s="4" t="s">
        <v>14</v>
      </c>
      <c r="F60" s="7" t="s">
        <v>36</v>
      </c>
      <c r="G60" s="5" t="s">
        <v>16</v>
      </c>
      <c r="H60" s="5" t="s">
        <v>16</v>
      </c>
      <c r="I60" s="4" t="s">
        <v>17</v>
      </c>
      <c r="J60" s="5" t="s">
        <v>16</v>
      </c>
    </row>
    <row r="61" spans="1:10" x14ac:dyDescent="0.25">
      <c r="A61" s="12" t="s">
        <v>92</v>
      </c>
      <c r="B61" s="4">
        <v>1</v>
      </c>
      <c r="C61" s="5" t="s">
        <v>93</v>
      </c>
      <c r="D61" s="5" t="s">
        <v>100</v>
      </c>
      <c r="E61" s="4" t="s">
        <v>14</v>
      </c>
      <c r="F61" s="10" t="s">
        <v>74</v>
      </c>
      <c r="G61" s="5" t="s">
        <v>16</v>
      </c>
      <c r="H61" s="5" t="s">
        <v>16</v>
      </c>
      <c r="I61" s="4" t="s">
        <v>17</v>
      </c>
      <c r="J61" s="5" t="s">
        <v>16</v>
      </c>
    </row>
    <row r="62" spans="1:10" x14ac:dyDescent="0.25">
      <c r="A62" s="13" t="s">
        <v>101</v>
      </c>
      <c r="B62" s="4">
        <v>1</v>
      </c>
      <c r="C62" s="5" t="s">
        <v>102</v>
      </c>
      <c r="D62" s="5" t="s">
        <v>103</v>
      </c>
      <c r="E62" s="4" t="s">
        <v>14</v>
      </c>
      <c r="F62" s="7" t="s">
        <v>36</v>
      </c>
      <c r="G62" s="5" t="s">
        <v>16</v>
      </c>
      <c r="H62" s="5" t="s">
        <v>16</v>
      </c>
      <c r="I62" s="4" t="s">
        <v>17</v>
      </c>
      <c r="J62" s="5" t="s">
        <v>104</v>
      </c>
    </row>
    <row r="63" spans="1:10" x14ac:dyDescent="0.25">
      <c r="A63" s="13" t="s">
        <v>101</v>
      </c>
      <c r="B63" s="4">
        <v>1</v>
      </c>
      <c r="C63" s="5" t="s">
        <v>102</v>
      </c>
      <c r="D63" s="5" t="s">
        <v>105</v>
      </c>
      <c r="E63" s="4" t="s">
        <v>14</v>
      </c>
      <c r="F63" s="10" t="s">
        <v>74</v>
      </c>
      <c r="G63" s="5" t="s">
        <v>16</v>
      </c>
      <c r="H63" s="5" t="s">
        <v>16</v>
      </c>
      <c r="I63" s="4" t="s">
        <v>17</v>
      </c>
      <c r="J63" s="5" t="s">
        <v>16</v>
      </c>
    </row>
    <row r="64" spans="1:10" x14ac:dyDescent="0.25">
      <c r="A64" s="13" t="s">
        <v>101</v>
      </c>
      <c r="B64" s="4">
        <v>1</v>
      </c>
      <c r="C64" s="5" t="s">
        <v>102</v>
      </c>
      <c r="D64" s="5" t="s">
        <v>106</v>
      </c>
      <c r="E64" s="4" t="s">
        <v>14</v>
      </c>
      <c r="F64" s="10" t="s">
        <v>74</v>
      </c>
      <c r="G64" s="5" t="s">
        <v>16</v>
      </c>
      <c r="H64" s="5" t="s">
        <v>16</v>
      </c>
      <c r="I64" s="4" t="s">
        <v>17</v>
      </c>
      <c r="J64" s="5" t="s">
        <v>16</v>
      </c>
    </row>
    <row r="65" spans="1:10" x14ac:dyDescent="0.25">
      <c r="A65" s="13" t="s">
        <v>101</v>
      </c>
      <c r="B65" s="4">
        <v>1</v>
      </c>
      <c r="C65" s="5" t="s">
        <v>102</v>
      </c>
      <c r="D65" s="5" t="s">
        <v>107</v>
      </c>
      <c r="E65" s="4" t="s">
        <v>14</v>
      </c>
      <c r="F65" s="10" t="s">
        <v>74</v>
      </c>
      <c r="G65" s="5" t="s">
        <v>16</v>
      </c>
      <c r="H65" s="5" t="s">
        <v>16</v>
      </c>
      <c r="I65" s="4" t="s">
        <v>17</v>
      </c>
      <c r="J65" s="5" t="s">
        <v>108</v>
      </c>
    </row>
    <row r="66" spans="1:10" x14ac:dyDescent="0.25">
      <c r="A66" s="13" t="s">
        <v>101</v>
      </c>
      <c r="B66" s="4">
        <v>1</v>
      </c>
      <c r="C66" s="5" t="s">
        <v>102</v>
      </c>
      <c r="D66" s="5" t="s">
        <v>109</v>
      </c>
      <c r="E66" s="4" t="s">
        <v>14</v>
      </c>
      <c r="F66" s="10" t="s">
        <v>74</v>
      </c>
      <c r="G66" s="5" t="s">
        <v>16</v>
      </c>
      <c r="H66" s="5" t="s">
        <v>16</v>
      </c>
      <c r="I66" s="4" t="s">
        <v>17</v>
      </c>
      <c r="J66" s="5" t="s">
        <v>16</v>
      </c>
    </row>
    <row r="67" spans="1:10" x14ac:dyDescent="0.25">
      <c r="A67" s="13" t="s">
        <v>101</v>
      </c>
      <c r="B67" s="4">
        <v>1</v>
      </c>
      <c r="C67" s="5" t="s">
        <v>102</v>
      </c>
      <c r="D67" s="5" t="s">
        <v>110</v>
      </c>
      <c r="E67" s="4" t="s">
        <v>14</v>
      </c>
      <c r="F67" s="10" t="s">
        <v>74</v>
      </c>
      <c r="G67" s="5" t="s">
        <v>16</v>
      </c>
      <c r="H67" s="5" t="s">
        <v>16</v>
      </c>
      <c r="I67" s="4" t="s">
        <v>17</v>
      </c>
      <c r="J67" s="5" t="s">
        <v>16</v>
      </c>
    </row>
    <row r="68" spans="1:10" x14ac:dyDescent="0.25">
      <c r="A68" s="13" t="s">
        <v>101</v>
      </c>
      <c r="B68" s="4">
        <v>1</v>
      </c>
      <c r="C68" s="5" t="s">
        <v>102</v>
      </c>
      <c r="D68" s="5" t="s">
        <v>111</v>
      </c>
      <c r="E68" s="4" t="s">
        <v>14</v>
      </c>
      <c r="F68" s="10" t="s">
        <v>74</v>
      </c>
      <c r="G68" s="5" t="s">
        <v>16</v>
      </c>
      <c r="H68" s="5" t="s">
        <v>16</v>
      </c>
      <c r="I68" s="4" t="s">
        <v>17</v>
      </c>
      <c r="J68" s="5" t="s">
        <v>16</v>
      </c>
    </row>
    <row r="69" spans="1:10" x14ac:dyDescent="0.25">
      <c r="A69" s="13" t="s">
        <v>101</v>
      </c>
      <c r="B69" s="4">
        <v>1</v>
      </c>
      <c r="C69" s="5" t="s">
        <v>102</v>
      </c>
      <c r="D69" s="5" t="s">
        <v>112</v>
      </c>
      <c r="E69" s="4" t="s">
        <v>14</v>
      </c>
      <c r="F69" s="10" t="s">
        <v>74</v>
      </c>
      <c r="G69" s="5" t="s">
        <v>16</v>
      </c>
      <c r="H69" s="5" t="s">
        <v>16</v>
      </c>
      <c r="I69" s="4" t="s">
        <v>17</v>
      </c>
      <c r="J69" s="5" t="s">
        <v>16</v>
      </c>
    </row>
    <row r="70" spans="1:10" x14ac:dyDescent="0.25">
      <c r="A70" s="13" t="s">
        <v>101</v>
      </c>
      <c r="B70" s="4">
        <v>1</v>
      </c>
      <c r="C70" s="5" t="s">
        <v>102</v>
      </c>
      <c r="D70" s="5" t="s">
        <v>113</v>
      </c>
      <c r="E70" s="4" t="s">
        <v>14</v>
      </c>
      <c r="F70" s="10" t="s">
        <v>74</v>
      </c>
      <c r="G70" s="5" t="s">
        <v>16</v>
      </c>
      <c r="H70" s="5" t="s">
        <v>16</v>
      </c>
      <c r="I70" s="4" t="s">
        <v>17</v>
      </c>
      <c r="J70" s="5" t="s">
        <v>16</v>
      </c>
    </row>
    <row r="71" spans="1:10" x14ac:dyDescent="0.25">
      <c r="A71" s="13" t="s">
        <v>101</v>
      </c>
      <c r="B71" s="4">
        <v>1</v>
      </c>
      <c r="C71" s="5" t="s">
        <v>102</v>
      </c>
      <c r="D71" s="5" t="s">
        <v>114</v>
      </c>
      <c r="E71" s="4" t="s">
        <v>14</v>
      </c>
      <c r="F71" s="10" t="s">
        <v>74</v>
      </c>
      <c r="G71" s="5" t="s">
        <v>16</v>
      </c>
      <c r="H71" s="5" t="s">
        <v>16</v>
      </c>
      <c r="I71" s="4" t="s">
        <v>17</v>
      </c>
      <c r="J71" s="5" t="s">
        <v>16</v>
      </c>
    </row>
  </sheetData>
  <autoFilter ref="A2:J2"/>
  <mergeCells count="1">
    <mergeCell ref="A1:J1"/>
  </mergeCells>
  <dataValidations count="2">
    <dataValidation type="list" allowBlank="1" sqref="I10:I71">
      <formula1>"未,済,一部"</formula1>
    </dataValidation>
    <dataValidation type="list" allowBlank="1" sqref="I3:I71">
      <formula1>"未,済,一部"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8" customWidth="1"/>
    <col min="2" max="2" width="22" customWidth="1"/>
    <col min="3" max="3" width="14" customWidth="1"/>
    <col min="4" max="5" width="8" customWidth="1"/>
  </cols>
  <sheetData>
    <row r="1" ht="24" customHeight="1" spans="1:5" x14ac:dyDescent="0.25">
      <c r="A1" s="14" t="s">
        <v>115</v>
      </c>
      <c r="B1" s="14"/>
      <c r="C1" s="14"/>
      <c r="D1" s="14"/>
      <c r="E1" s="14"/>
    </row>
    <row r="2" spans="1:5" x14ac:dyDescent="0.25">
      <c r="A2" s="15" t="s">
        <v>116</v>
      </c>
      <c r="B2" s="15" t="s">
        <v>117</v>
      </c>
      <c r="C2" s="15" t="s">
        <v>118</v>
      </c>
      <c r="D2" s="15" t="s">
        <v>119</v>
      </c>
      <c r="E2" s="15" t="s">
        <v>120</v>
      </c>
    </row>
    <row r="3" spans="1:5" x14ac:dyDescent="0.25">
      <c r="A3" s="16" t="s">
        <v>11</v>
      </c>
      <c r="B3" s="17" t="s">
        <v>121</v>
      </c>
      <c r="C3" s="17">
        <v>22</v>
      </c>
      <c r="D3" s="17">
        <f>COUNTIFS(配布管理!$A$3:$A$71,"A",配布管理!$I$3:$I$71,"済")</f>
      </c>
      <c r="E3" s="18">
        <f>IF(C3=0,0,D3/C3)</f>
      </c>
    </row>
    <row r="4" spans="1:5" x14ac:dyDescent="0.25">
      <c r="A4" s="19" t="s">
        <v>47</v>
      </c>
      <c r="B4" s="17" t="s">
        <v>122</v>
      </c>
      <c r="C4" s="17">
        <v>12</v>
      </c>
      <c r="D4" s="17">
        <f>COUNTIFS(配布管理!$A$3:$A$71,"E",配布管理!$I$3:$I$71,"済")</f>
      </c>
      <c r="E4" s="18">
        <f>IF(C4=0,0,D4/C4)</f>
      </c>
    </row>
    <row r="5" spans="1:5" x14ac:dyDescent="0.25">
      <c r="A5" s="20" t="s">
        <v>63</v>
      </c>
      <c r="B5" s="17" t="s">
        <v>123</v>
      </c>
      <c r="C5" s="17">
        <v>8</v>
      </c>
      <c r="D5" s="17">
        <f>COUNTIFS(配布管理!$A$3:$A$71,"D",配布管理!$I$3:$I$71,"済")</f>
      </c>
      <c r="E5" s="18">
        <f>IF(C5=0,0,D5/C5)</f>
      </c>
    </row>
    <row r="6" spans="1:5" x14ac:dyDescent="0.25">
      <c r="A6" s="21" t="s">
        <v>75</v>
      </c>
      <c r="B6" s="17" t="s">
        <v>124</v>
      </c>
      <c r="C6" s="17">
        <v>11</v>
      </c>
      <c r="D6" s="17">
        <f>COUNTIFS(配布管理!$A$3:$A$71,"F",配布管理!$I$3:$I$71,"済")</f>
      </c>
      <c r="E6" s="18">
        <f>IF(C6=0,0,D6/C6)</f>
      </c>
    </row>
    <row r="7" spans="1:5" x14ac:dyDescent="0.25">
      <c r="A7" s="22" t="s">
        <v>92</v>
      </c>
      <c r="B7" s="17" t="s">
        <v>125</v>
      </c>
      <c r="C7" s="17">
        <v>6</v>
      </c>
      <c r="D7" s="17">
        <f>COUNTIFS(配布管理!$A$3:$A$71,"C",配布管理!$I$3:$I$71,"済")</f>
      </c>
      <c r="E7" s="18">
        <f>IF(C7=0,0,D7/C7)</f>
      </c>
    </row>
    <row r="8" spans="1:5" x14ac:dyDescent="0.25">
      <c r="A8" s="23" t="s">
        <v>101</v>
      </c>
      <c r="B8" s="17" t="s">
        <v>126</v>
      </c>
      <c r="C8" s="17">
        <v>10</v>
      </c>
      <c r="D8" s="17">
        <f>COUNTIFS(配布管理!$A$3:$A$71,"B",配布管理!$I$3:$I$71,"済")</f>
      </c>
      <c r="E8" s="18">
        <f>IF(C8=0,0,D8/C8)</f>
      </c>
    </row>
    <row r="9" spans="1:5" x14ac:dyDescent="0.25">
      <c r="A9" s="24" t="s">
        <v>127</v>
      </c>
      <c r="B9" s="24" t="s">
        <v>128</v>
      </c>
      <c r="C9" s="24">
        <f>SUM(C3:C8)</f>
      </c>
      <c r="D9" s="24">
        <f>SUM(D3:D8)</f>
      </c>
      <c r="E9" s="25">
        <f>IF(C9=0,0,D9/C9)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6" customWidth="1"/>
    <col min="3" max="3" width="30" customWidth="1"/>
    <col min="5" max="6" width="12" customWidth="1"/>
  </cols>
  <sheetData>
    <row r="1" spans="1:6" x14ac:dyDescent="0.25">
      <c r="A1" s="15" t="s">
        <v>129</v>
      </c>
      <c r="B1" s="15" t="s">
        <v>130</v>
      </c>
      <c r="C1" s="15" t="s">
        <v>131</v>
      </c>
      <c r="D1" s="15" t="s">
        <v>1</v>
      </c>
      <c r="E1" s="15" t="s">
        <v>132</v>
      </c>
      <c r="F1" s="15" t="s">
        <v>133</v>
      </c>
    </row>
    <row r="2" spans="1:6" x14ac:dyDescent="0.25">
      <c r="A2" s="17">
        <v>1</v>
      </c>
      <c r="B2" s="17" t="s">
        <v>134</v>
      </c>
      <c r="C2" s="17" t="s">
        <v>135</v>
      </c>
      <c r="D2" s="16" t="s">
        <v>11</v>
      </c>
      <c r="E2" s="17">
        <v>34.8516588</v>
      </c>
      <c r="F2" s="17">
        <v>135.62729</v>
      </c>
    </row>
    <row r="3" spans="1:6" x14ac:dyDescent="0.25">
      <c r="A3" s="17">
        <v>2</v>
      </c>
      <c r="B3" s="17" t="s">
        <v>136</v>
      </c>
      <c r="C3" s="17" t="s">
        <v>137</v>
      </c>
      <c r="D3" s="16" t="s">
        <v>11</v>
      </c>
      <c r="E3" s="17">
        <v>34.850643</v>
      </c>
      <c r="F3" s="17">
        <v>135.621597</v>
      </c>
    </row>
    <row r="4" spans="1:6" x14ac:dyDescent="0.25">
      <c r="A4" s="17">
        <v>3</v>
      </c>
      <c r="B4" s="17" t="s">
        <v>138</v>
      </c>
      <c r="C4" s="17" t="s">
        <v>139</v>
      </c>
      <c r="D4" s="16" t="s">
        <v>11</v>
      </c>
      <c r="E4" s="17">
        <v>34.8498497</v>
      </c>
      <c r="F4" s="17">
        <v>135.623138</v>
      </c>
    </row>
    <row r="5" spans="1:6" x14ac:dyDescent="0.25">
      <c r="A5" s="17">
        <v>4</v>
      </c>
      <c r="B5" s="17" t="s">
        <v>140</v>
      </c>
      <c r="C5" s="17" t="s">
        <v>141</v>
      </c>
      <c r="D5" s="16" t="s">
        <v>11</v>
      </c>
      <c r="E5" s="17">
        <v>34.8501942</v>
      </c>
      <c r="F5" s="17">
        <v>135.6206394</v>
      </c>
    </row>
    <row r="6" spans="1:6" x14ac:dyDescent="0.25">
      <c r="A6" s="17">
        <v>5</v>
      </c>
      <c r="B6" s="17" t="s">
        <v>23</v>
      </c>
      <c r="C6" s="17" t="s">
        <v>142</v>
      </c>
      <c r="D6" s="16" t="s">
        <v>11</v>
      </c>
      <c r="E6" s="17">
        <v>34.846363</v>
      </c>
      <c r="F6" s="17">
        <v>135.618927</v>
      </c>
    </row>
    <row r="7" spans="1:6" x14ac:dyDescent="0.25">
      <c r="A7" s="17">
        <v>6</v>
      </c>
      <c r="B7" s="17" t="s">
        <v>143</v>
      </c>
      <c r="C7" s="17" t="s">
        <v>144</v>
      </c>
      <c r="D7" s="16" t="s">
        <v>11</v>
      </c>
      <c r="E7" s="17">
        <v>34.8533464</v>
      </c>
      <c r="F7" s="17">
        <v>135.6144381</v>
      </c>
    </row>
    <row r="8" spans="1:6" x14ac:dyDescent="0.25">
      <c r="A8" s="17">
        <v>7</v>
      </c>
      <c r="B8" s="17" t="s">
        <v>145</v>
      </c>
      <c r="C8" s="17" t="s">
        <v>146</v>
      </c>
      <c r="D8" s="16" t="s">
        <v>11</v>
      </c>
      <c r="E8" s="17">
        <v>34.8521957</v>
      </c>
      <c r="F8" s="17">
        <v>135.614822</v>
      </c>
    </row>
    <row r="9" spans="1:6" x14ac:dyDescent="0.25">
      <c r="A9" s="17">
        <v>8</v>
      </c>
      <c r="B9" s="17" t="s">
        <v>147</v>
      </c>
      <c r="C9" s="17" t="s">
        <v>148</v>
      </c>
      <c r="D9" s="20" t="s">
        <v>63</v>
      </c>
      <c r="E9" s="17">
        <v>34.8397064</v>
      </c>
      <c r="F9" s="17">
        <v>135.606537</v>
      </c>
    </row>
    <row r="10" spans="1:6" x14ac:dyDescent="0.25">
      <c r="A10" s="17">
        <v>9</v>
      </c>
      <c r="B10" s="17" t="s">
        <v>149</v>
      </c>
      <c r="C10" s="17" t="s">
        <v>150</v>
      </c>
      <c r="D10" s="20" t="s">
        <v>63</v>
      </c>
      <c r="E10" s="17">
        <v>34.8401627</v>
      </c>
      <c r="F10" s="17">
        <v>135.608036</v>
      </c>
    </row>
    <row r="11" spans="1:6" x14ac:dyDescent="0.25">
      <c r="A11" s="17">
        <v>10</v>
      </c>
      <c r="B11" s="17" t="s">
        <v>151</v>
      </c>
      <c r="C11" s="17" t="s">
        <v>152</v>
      </c>
      <c r="D11" s="22" t="s">
        <v>92</v>
      </c>
      <c r="E11" s="17">
        <v>34.8591134</v>
      </c>
      <c r="F11" s="17">
        <v>135.636461</v>
      </c>
    </row>
    <row r="12" spans="1:6" x14ac:dyDescent="0.25">
      <c r="A12" s="17">
        <v>11</v>
      </c>
      <c r="B12" s="17" t="s">
        <v>104</v>
      </c>
      <c r="C12" s="17" t="s">
        <v>153</v>
      </c>
      <c r="D12" s="23" t="s">
        <v>101</v>
      </c>
      <c r="E12" s="17">
        <v>34.8584633</v>
      </c>
      <c r="F12" s="17">
        <v>135.595947</v>
      </c>
    </row>
    <row r="13" spans="1:6" x14ac:dyDescent="0.25">
      <c r="A13" s="17">
        <v>12</v>
      </c>
      <c r="B13" s="17" t="s">
        <v>108</v>
      </c>
      <c r="C13" s="17" t="s">
        <v>154</v>
      </c>
      <c r="D13" s="23" t="s">
        <v>101</v>
      </c>
      <c r="E13" s="17">
        <v>34.8594551</v>
      </c>
      <c r="F13" s="17">
        <v>135.585999</v>
      </c>
    </row>
    <row r="14" spans="1:6" x14ac:dyDescent="0.25">
      <c r="A14" s="17">
        <v>13</v>
      </c>
      <c r="B14" s="17" t="s">
        <v>155</v>
      </c>
      <c r="C14" s="17" t="s">
        <v>156</v>
      </c>
      <c r="D14" s="19" t="s">
        <v>47</v>
      </c>
      <c r="E14" s="17">
        <v>34.83594</v>
      </c>
      <c r="F14" s="17">
        <v>135.592755</v>
      </c>
    </row>
    <row r="15" spans="1:6" x14ac:dyDescent="0.25">
      <c r="A15" s="17">
        <v>14</v>
      </c>
      <c r="B15" s="17" t="s">
        <v>57</v>
      </c>
      <c r="C15" s="17" t="s">
        <v>157</v>
      </c>
      <c r="D15" s="19" t="s">
        <v>47</v>
      </c>
      <c r="E15" s="17">
        <v>34.8364983</v>
      </c>
      <c r="F15" s="17">
        <v>135.588257</v>
      </c>
    </row>
    <row r="16" spans="1:6" x14ac:dyDescent="0.25">
      <c r="A16" s="17">
        <v>15</v>
      </c>
      <c r="B16" s="17" t="s">
        <v>158</v>
      </c>
      <c r="C16" s="17" t="s">
        <v>159</v>
      </c>
      <c r="D16" s="21" t="s">
        <v>75</v>
      </c>
      <c r="E16" s="17">
        <v>34.8506995</v>
      </c>
      <c r="F16" s="17">
        <v>135.590336</v>
      </c>
    </row>
    <row r="17" spans="1:6" x14ac:dyDescent="0.25">
      <c r="A17" s="17">
        <v>16</v>
      </c>
      <c r="B17" s="17" t="s">
        <v>80</v>
      </c>
      <c r="C17" s="17" t="s">
        <v>160</v>
      </c>
      <c r="D17" s="21" t="s">
        <v>75</v>
      </c>
      <c r="E17" s="17">
        <v>34.8531992</v>
      </c>
      <c r="F17" s="17">
        <v>135.5765007</v>
      </c>
    </row>
    <row r="18" spans="1:6" x14ac:dyDescent="0.25">
      <c r="A18" s="17">
        <v>17</v>
      </c>
      <c r="B18" s="17" t="s">
        <v>78</v>
      </c>
      <c r="C18" s="17" t="s">
        <v>161</v>
      </c>
      <c r="D18" s="21" t="s">
        <v>75</v>
      </c>
      <c r="E18" s="17">
        <v>34.8503304</v>
      </c>
      <c r="F18" s="17">
        <v>135.58316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3" max="3" width="30" customWidth="1"/>
    <col min="4" max="4" width="20" customWidth="1"/>
    <col min="6" max="6" width="8" customWidth="1"/>
    <col min="7" max="7" width="26" customWidth="1"/>
  </cols>
  <sheetData>
    <row r="1" ht="24" customHeight="1" spans="1:7" x14ac:dyDescent="0.25">
      <c r="A1" s="26" t="s">
        <v>162</v>
      </c>
      <c r="B1" s="26"/>
      <c r="C1" s="26"/>
      <c r="D1" s="26"/>
      <c r="E1" s="26"/>
      <c r="F1" s="26"/>
      <c r="G1" s="26"/>
    </row>
    <row r="2" spans="1:7" x14ac:dyDescent="0.25">
      <c r="A2" s="27" t="s">
        <v>1</v>
      </c>
      <c r="B2" s="27" t="s">
        <v>163</v>
      </c>
      <c r="C2" s="27" t="s">
        <v>164</v>
      </c>
      <c r="D2" s="27" t="s">
        <v>131</v>
      </c>
      <c r="E2" s="27" t="s">
        <v>165</v>
      </c>
      <c r="F2" s="27" t="s">
        <v>9</v>
      </c>
      <c r="G2" s="27" t="s">
        <v>166</v>
      </c>
    </row>
    <row r="3" spans="1:7" x14ac:dyDescent="0.25">
      <c r="A3" s="28" t="s">
        <v>11</v>
      </c>
      <c r="B3" s="29" t="s">
        <v>167</v>
      </c>
      <c r="C3" s="29" t="s">
        <v>168</v>
      </c>
      <c r="D3" s="29" t="s">
        <v>169</v>
      </c>
      <c r="E3" s="30">
        <v>248</v>
      </c>
      <c r="F3" s="31" t="s">
        <v>17</v>
      </c>
      <c r="G3" s="29" t="s">
        <v>170</v>
      </c>
    </row>
    <row r="4" spans="1:7" x14ac:dyDescent="0.25">
      <c r="A4" s="28" t="s">
        <v>11</v>
      </c>
      <c r="B4" s="29" t="s">
        <v>167</v>
      </c>
      <c r="C4" s="29" t="s">
        <v>171</v>
      </c>
      <c r="D4" s="29" t="s">
        <v>172</v>
      </c>
      <c r="E4" s="30">
        <v>171</v>
      </c>
      <c r="F4" s="31" t="s">
        <v>17</v>
      </c>
      <c r="G4" s="29" t="s">
        <v>170</v>
      </c>
    </row>
    <row r="5" spans="1:7" x14ac:dyDescent="0.25">
      <c r="A5" s="28" t="s">
        <v>11</v>
      </c>
      <c r="B5" s="29" t="s">
        <v>167</v>
      </c>
      <c r="C5" s="29" t="s">
        <v>173</v>
      </c>
      <c r="D5" s="29" t="s">
        <v>174</v>
      </c>
      <c r="E5" s="30">
        <v>111</v>
      </c>
      <c r="F5" s="31" t="s">
        <v>17</v>
      </c>
      <c r="G5" s="29" t="s">
        <v>170</v>
      </c>
    </row>
    <row r="6" spans="1:7" x14ac:dyDescent="0.25">
      <c r="A6" s="28" t="s">
        <v>11</v>
      </c>
      <c r="B6" s="29" t="s">
        <v>167</v>
      </c>
      <c r="C6" s="29" t="s">
        <v>175</v>
      </c>
      <c r="D6" s="29" t="s">
        <v>176</v>
      </c>
      <c r="E6" s="30">
        <v>102</v>
      </c>
      <c r="F6" s="31" t="s">
        <v>17</v>
      </c>
      <c r="G6" s="29" t="s">
        <v>170</v>
      </c>
    </row>
    <row r="7" spans="1:7" x14ac:dyDescent="0.25">
      <c r="A7" s="28" t="s">
        <v>11</v>
      </c>
      <c r="B7" s="29" t="s">
        <v>167</v>
      </c>
      <c r="C7" s="29" t="s">
        <v>177</v>
      </c>
      <c r="D7" s="29" t="s">
        <v>178</v>
      </c>
      <c r="E7" s="30">
        <v>83</v>
      </c>
      <c r="F7" s="31" t="s">
        <v>17</v>
      </c>
      <c r="G7" s="29" t="s">
        <v>170</v>
      </c>
    </row>
    <row r="8" spans="1:7" x14ac:dyDescent="0.25">
      <c r="A8" s="28" t="s">
        <v>11</v>
      </c>
      <c r="B8" s="29" t="s">
        <v>167</v>
      </c>
      <c r="C8" s="29" t="s">
        <v>179</v>
      </c>
      <c r="D8" s="29" t="s">
        <v>180</v>
      </c>
      <c r="E8" s="30">
        <v>78</v>
      </c>
      <c r="F8" s="31" t="s">
        <v>17</v>
      </c>
      <c r="G8" s="29" t="s">
        <v>170</v>
      </c>
    </row>
    <row r="9" spans="1:7" x14ac:dyDescent="0.25">
      <c r="A9" s="28" t="s">
        <v>11</v>
      </c>
      <c r="B9" s="29" t="s">
        <v>181</v>
      </c>
      <c r="C9" s="29" t="s">
        <v>182</v>
      </c>
      <c r="D9" s="29" t="s">
        <v>183</v>
      </c>
      <c r="E9" s="30">
        <v>75</v>
      </c>
      <c r="F9" s="31" t="s">
        <v>17</v>
      </c>
      <c r="G9" s="29" t="s">
        <v>184</v>
      </c>
    </row>
    <row r="10" spans="1:7" x14ac:dyDescent="0.25">
      <c r="A10" s="28" t="s">
        <v>11</v>
      </c>
      <c r="B10" s="29" t="s">
        <v>167</v>
      </c>
      <c r="C10" s="29" t="s">
        <v>185</v>
      </c>
      <c r="D10" s="29" t="s">
        <v>186</v>
      </c>
      <c r="E10" s="30">
        <v>71</v>
      </c>
      <c r="F10" s="31" t="s">
        <v>17</v>
      </c>
      <c r="G10" s="29" t="s">
        <v>170</v>
      </c>
    </row>
    <row r="11" spans="1:7" x14ac:dyDescent="0.25">
      <c r="A11" s="28" t="s">
        <v>11</v>
      </c>
      <c r="B11" s="29" t="s">
        <v>29</v>
      </c>
      <c r="C11" s="29" t="s">
        <v>187</v>
      </c>
      <c r="D11" s="29" t="s">
        <v>188</v>
      </c>
      <c r="E11" s="30">
        <v>48</v>
      </c>
      <c r="F11" s="31" t="s">
        <v>17</v>
      </c>
      <c r="G11" s="29" t="s">
        <v>170</v>
      </c>
    </row>
    <row r="12" spans="1:7" x14ac:dyDescent="0.25">
      <c r="A12" s="28" t="s">
        <v>11</v>
      </c>
      <c r="B12" s="29" t="s">
        <v>181</v>
      </c>
      <c r="C12" s="29" t="s">
        <v>189</v>
      </c>
      <c r="D12" s="29" t="s">
        <v>190</v>
      </c>
      <c r="E12" s="30">
        <v>42</v>
      </c>
      <c r="F12" s="31" t="s">
        <v>17</v>
      </c>
      <c r="G12" s="29" t="s">
        <v>184</v>
      </c>
    </row>
    <row r="13" spans="1:7" x14ac:dyDescent="0.25">
      <c r="A13" s="28" t="s">
        <v>11</v>
      </c>
      <c r="B13" s="29" t="s">
        <v>25</v>
      </c>
      <c r="C13" s="29" t="s">
        <v>191</v>
      </c>
      <c r="D13" s="29" t="s">
        <v>192</v>
      </c>
      <c r="E13" s="30">
        <v>41</v>
      </c>
      <c r="F13" s="31" t="s">
        <v>17</v>
      </c>
      <c r="G13" s="29" t="s">
        <v>170</v>
      </c>
    </row>
    <row r="14" spans="1:7" x14ac:dyDescent="0.25">
      <c r="A14" s="28" t="s">
        <v>11</v>
      </c>
      <c r="B14" s="29" t="s">
        <v>25</v>
      </c>
      <c r="C14" s="29" t="s">
        <v>193</v>
      </c>
      <c r="D14" s="29" t="s">
        <v>194</v>
      </c>
      <c r="E14" s="30">
        <v>38</v>
      </c>
      <c r="F14" s="31" t="s">
        <v>17</v>
      </c>
      <c r="G14" s="29" t="s">
        <v>170</v>
      </c>
    </row>
    <row r="15" spans="1:7" x14ac:dyDescent="0.25">
      <c r="A15" s="28" t="s">
        <v>11</v>
      </c>
      <c r="B15" s="29" t="s">
        <v>195</v>
      </c>
      <c r="C15" s="29" t="s">
        <v>196</v>
      </c>
      <c r="D15" s="29" t="s">
        <v>197</v>
      </c>
      <c r="E15" s="30">
        <v>33</v>
      </c>
      <c r="F15" s="31" t="s">
        <v>17</v>
      </c>
      <c r="G15" s="29" t="s">
        <v>198</v>
      </c>
    </row>
    <row r="16" spans="1:7" x14ac:dyDescent="0.25">
      <c r="A16" s="28" t="s">
        <v>11</v>
      </c>
      <c r="B16" s="29" t="s">
        <v>195</v>
      </c>
      <c r="C16" s="29" t="s">
        <v>199</v>
      </c>
      <c r="D16" s="29" t="s">
        <v>200</v>
      </c>
      <c r="E16" s="30">
        <v>32</v>
      </c>
      <c r="F16" s="31" t="s">
        <v>17</v>
      </c>
      <c r="G16" s="29" t="s">
        <v>184</v>
      </c>
    </row>
    <row r="17" spans="1:7" x14ac:dyDescent="0.25">
      <c r="A17" s="28" t="s">
        <v>11</v>
      </c>
      <c r="B17" s="29" t="s">
        <v>25</v>
      </c>
      <c r="C17" s="29" t="s">
        <v>201</v>
      </c>
      <c r="D17" s="29" t="s">
        <v>202</v>
      </c>
      <c r="E17" s="30">
        <v>30</v>
      </c>
      <c r="F17" s="31" t="s">
        <v>17</v>
      </c>
      <c r="G17" s="29" t="s">
        <v>170</v>
      </c>
    </row>
    <row r="18" spans="1:7" x14ac:dyDescent="0.25">
      <c r="A18" s="28" t="s">
        <v>11</v>
      </c>
      <c r="B18" s="29" t="s">
        <v>25</v>
      </c>
      <c r="C18" s="29" t="s">
        <v>203</v>
      </c>
      <c r="D18" s="29" t="s">
        <v>204</v>
      </c>
      <c r="E18" s="30">
        <v>28</v>
      </c>
      <c r="F18" s="31" t="s">
        <v>17</v>
      </c>
      <c r="G18" s="29" t="s">
        <v>170</v>
      </c>
    </row>
    <row r="19" spans="1:7" x14ac:dyDescent="0.25">
      <c r="A19" s="28" t="s">
        <v>11</v>
      </c>
      <c r="B19" s="29" t="s">
        <v>195</v>
      </c>
      <c r="C19" s="29" t="s">
        <v>205</v>
      </c>
      <c r="D19" s="29" t="s">
        <v>206</v>
      </c>
      <c r="E19" s="30">
        <v>26</v>
      </c>
      <c r="F19" s="31" t="s">
        <v>17</v>
      </c>
      <c r="G19" s="29" t="s">
        <v>184</v>
      </c>
    </row>
    <row r="20" spans="1:7" x14ac:dyDescent="0.25">
      <c r="A20" s="28" t="s">
        <v>11</v>
      </c>
      <c r="B20" s="29" t="s">
        <v>25</v>
      </c>
      <c r="C20" s="29" t="s">
        <v>207</v>
      </c>
      <c r="D20" s="29" t="s">
        <v>208</v>
      </c>
      <c r="E20" s="30">
        <v>25</v>
      </c>
      <c r="F20" s="31" t="s">
        <v>17</v>
      </c>
      <c r="G20" s="29" t="s">
        <v>170</v>
      </c>
    </row>
    <row r="21" spans="1:7" x14ac:dyDescent="0.25">
      <c r="A21" s="28" t="s">
        <v>11</v>
      </c>
      <c r="B21" s="29" t="s">
        <v>195</v>
      </c>
      <c r="C21" s="29" t="s">
        <v>209</v>
      </c>
      <c r="D21" s="29" t="s">
        <v>210</v>
      </c>
      <c r="E21" s="30">
        <v>24</v>
      </c>
      <c r="F21" s="31" t="s">
        <v>17</v>
      </c>
      <c r="G21" s="29" t="s">
        <v>184</v>
      </c>
    </row>
    <row r="22" spans="1:7" x14ac:dyDescent="0.25">
      <c r="A22" s="28" t="s">
        <v>11</v>
      </c>
      <c r="B22" s="29" t="s">
        <v>167</v>
      </c>
      <c r="C22" s="29" t="s">
        <v>211</v>
      </c>
      <c r="D22" s="29" t="s">
        <v>212</v>
      </c>
      <c r="E22" s="30">
        <v>24</v>
      </c>
      <c r="F22" s="31" t="s">
        <v>17</v>
      </c>
      <c r="G22" s="29" t="s">
        <v>170</v>
      </c>
    </row>
    <row r="23" spans="1:7" x14ac:dyDescent="0.25">
      <c r="A23" s="28" t="s">
        <v>11</v>
      </c>
      <c r="B23" s="29" t="s">
        <v>25</v>
      </c>
      <c r="C23" s="29" t="s">
        <v>213</v>
      </c>
      <c r="D23" s="29" t="s">
        <v>214</v>
      </c>
      <c r="E23" s="30">
        <v>21</v>
      </c>
      <c r="F23" s="31" t="s">
        <v>17</v>
      </c>
      <c r="G23" s="29" t="s">
        <v>170</v>
      </c>
    </row>
    <row r="24" spans="1:7" x14ac:dyDescent="0.25">
      <c r="A24" s="28" t="s">
        <v>11</v>
      </c>
      <c r="B24" s="29" t="s">
        <v>34</v>
      </c>
      <c r="C24" s="29" t="s">
        <v>215</v>
      </c>
      <c r="D24" s="29" t="s">
        <v>216</v>
      </c>
      <c r="E24" s="30">
        <v>21</v>
      </c>
      <c r="F24" s="31" t="s">
        <v>17</v>
      </c>
      <c r="G24" s="29" t="s">
        <v>217</v>
      </c>
    </row>
    <row r="25" spans="1:7" x14ac:dyDescent="0.25">
      <c r="A25" s="28" t="s">
        <v>11</v>
      </c>
      <c r="B25" s="29" t="s">
        <v>34</v>
      </c>
      <c r="C25" s="29" t="s">
        <v>218</v>
      </c>
      <c r="D25" s="29" t="s">
        <v>219</v>
      </c>
      <c r="E25" s="30">
        <v>19</v>
      </c>
      <c r="F25" s="31" t="s">
        <v>17</v>
      </c>
      <c r="G25" s="29" t="s">
        <v>217</v>
      </c>
    </row>
    <row r="26" spans="1:7" x14ac:dyDescent="0.25">
      <c r="A26" s="28" t="s">
        <v>11</v>
      </c>
      <c r="B26" s="29" t="s">
        <v>195</v>
      </c>
      <c r="C26" s="29" t="s">
        <v>220</v>
      </c>
      <c r="D26" s="29" t="s">
        <v>221</v>
      </c>
      <c r="E26" s="30">
        <v>15</v>
      </c>
      <c r="F26" s="31" t="s">
        <v>17</v>
      </c>
      <c r="G26" s="29" t="s">
        <v>184</v>
      </c>
    </row>
    <row r="27" spans="1:7" x14ac:dyDescent="0.25">
      <c r="A27" s="28" t="s">
        <v>11</v>
      </c>
      <c r="B27" s="29" t="s">
        <v>34</v>
      </c>
      <c r="C27" s="29" t="s">
        <v>222</v>
      </c>
      <c r="D27" s="29" t="s">
        <v>223</v>
      </c>
      <c r="E27" s="30">
        <v>15</v>
      </c>
      <c r="F27" s="31" t="s">
        <v>17</v>
      </c>
      <c r="G27" s="29" t="s">
        <v>217</v>
      </c>
    </row>
    <row r="28" spans="1:7" x14ac:dyDescent="0.25">
      <c r="A28" s="32" t="s">
        <v>47</v>
      </c>
      <c r="B28" s="29" t="s">
        <v>224</v>
      </c>
      <c r="C28" s="29" t="s">
        <v>225</v>
      </c>
      <c r="D28" s="29" t="s">
        <v>226</v>
      </c>
      <c r="E28" s="30">
        <v>106</v>
      </c>
      <c r="F28" s="31" t="s">
        <v>17</v>
      </c>
      <c r="G28" s="29" t="s">
        <v>227</v>
      </c>
    </row>
    <row r="29" spans="1:7" x14ac:dyDescent="0.25">
      <c r="A29" s="32" t="s">
        <v>47</v>
      </c>
      <c r="B29" s="29" t="s">
        <v>62</v>
      </c>
      <c r="C29" s="29" t="s">
        <v>228</v>
      </c>
      <c r="D29" s="29" t="s">
        <v>229</v>
      </c>
      <c r="E29" s="30">
        <v>73</v>
      </c>
      <c r="F29" s="31" t="s">
        <v>17</v>
      </c>
      <c r="G29" s="29" t="s">
        <v>230</v>
      </c>
    </row>
    <row r="30" spans="1:7" x14ac:dyDescent="0.25">
      <c r="A30" s="32" t="s">
        <v>47</v>
      </c>
      <c r="B30" s="29" t="s">
        <v>224</v>
      </c>
      <c r="C30" s="29" t="s">
        <v>231</v>
      </c>
      <c r="D30" s="29" t="s">
        <v>232</v>
      </c>
      <c r="E30" s="30">
        <v>56</v>
      </c>
      <c r="F30" s="31" t="s">
        <v>17</v>
      </c>
      <c r="G30" s="29" t="s">
        <v>227</v>
      </c>
    </row>
    <row r="31" spans="1:7" x14ac:dyDescent="0.25">
      <c r="A31" s="32" t="s">
        <v>47</v>
      </c>
      <c r="B31" s="29" t="s">
        <v>224</v>
      </c>
      <c r="C31" s="29" t="s">
        <v>233</v>
      </c>
      <c r="D31" s="29" t="s">
        <v>234</v>
      </c>
      <c r="E31" s="30">
        <v>54</v>
      </c>
      <c r="F31" s="31" t="s">
        <v>17</v>
      </c>
      <c r="G31" s="29" t="s">
        <v>170</v>
      </c>
    </row>
    <row r="32" spans="1:7" x14ac:dyDescent="0.25">
      <c r="A32" s="32" t="s">
        <v>47</v>
      </c>
      <c r="B32" s="29" t="s">
        <v>56</v>
      </c>
      <c r="C32" s="29" t="s">
        <v>235</v>
      </c>
      <c r="D32" s="29" t="s">
        <v>236</v>
      </c>
      <c r="E32" s="30">
        <v>44</v>
      </c>
      <c r="F32" s="31" t="s">
        <v>17</v>
      </c>
      <c r="G32" s="29" t="s">
        <v>170</v>
      </c>
    </row>
    <row r="33" spans="1:7" x14ac:dyDescent="0.25">
      <c r="A33" s="32" t="s">
        <v>47</v>
      </c>
      <c r="B33" s="29" t="s">
        <v>224</v>
      </c>
      <c r="C33" s="29" t="s">
        <v>237</v>
      </c>
      <c r="D33" s="29" t="s">
        <v>238</v>
      </c>
      <c r="E33" s="30">
        <v>45</v>
      </c>
      <c r="F33" s="31" t="s">
        <v>17</v>
      </c>
      <c r="G33" s="29" t="s">
        <v>170</v>
      </c>
    </row>
    <row r="34" spans="1:7" x14ac:dyDescent="0.25">
      <c r="A34" s="32" t="s">
        <v>47</v>
      </c>
      <c r="B34" s="29" t="s">
        <v>224</v>
      </c>
      <c r="C34" s="29" t="s">
        <v>239</v>
      </c>
      <c r="D34" s="29" t="s">
        <v>240</v>
      </c>
      <c r="E34" s="30">
        <v>40</v>
      </c>
      <c r="F34" s="31" t="s">
        <v>17</v>
      </c>
      <c r="G34" s="29" t="s">
        <v>170</v>
      </c>
    </row>
    <row r="35" spans="1:7" x14ac:dyDescent="0.25">
      <c r="A35" s="32" t="s">
        <v>47</v>
      </c>
      <c r="B35" s="29" t="s">
        <v>56</v>
      </c>
      <c r="C35" s="29" t="s">
        <v>241</v>
      </c>
      <c r="D35" s="29" t="s">
        <v>242</v>
      </c>
      <c r="E35" s="30">
        <v>28</v>
      </c>
      <c r="F35" s="31" t="s">
        <v>17</v>
      </c>
      <c r="G35" s="29" t="s">
        <v>170</v>
      </c>
    </row>
    <row r="36" spans="1:7" x14ac:dyDescent="0.25">
      <c r="A36" s="32" t="s">
        <v>47</v>
      </c>
      <c r="B36" s="29" t="s">
        <v>61</v>
      </c>
      <c r="C36" s="29" t="s">
        <v>243</v>
      </c>
      <c r="D36" s="29" t="s">
        <v>244</v>
      </c>
      <c r="E36" s="30">
        <v>27</v>
      </c>
      <c r="F36" s="31" t="s">
        <v>17</v>
      </c>
      <c r="G36" s="29" t="s">
        <v>245</v>
      </c>
    </row>
    <row r="37" spans="1:7" x14ac:dyDescent="0.25">
      <c r="A37" s="32" t="s">
        <v>47</v>
      </c>
      <c r="B37" s="29" t="s">
        <v>246</v>
      </c>
      <c r="C37" s="29" t="s">
        <v>247</v>
      </c>
      <c r="D37" s="29" t="s">
        <v>248</v>
      </c>
      <c r="E37" s="30">
        <v>27</v>
      </c>
      <c r="F37" s="31" t="s">
        <v>17</v>
      </c>
      <c r="G37" s="29" t="s">
        <v>245</v>
      </c>
    </row>
    <row r="38" spans="1:7" x14ac:dyDescent="0.25">
      <c r="A38" s="32" t="s">
        <v>47</v>
      </c>
      <c r="B38" s="29" t="s">
        <v>249</v>
      </c>
      <c r="C38" s="29" t="s">
        <v>250</v>
      </c>
      <c r="D38" s="29" t="s">
        <v>251</v>
      </c>
      <c r="E38" s="30">
        <v>24</v>
      </c>
      <c r="F38" s="31" t="s">
        <v>17</v>
      </c>
      <c r="G38" s="29" t="s">
        <v>170</v>
      </c>
    </row>
    <row r="39" spans="1:7" x14ac:dyDescent="0.25">
      <c r="A39" s="32" t="s">
        <v>47</v>
      </c>
      <c r="B39" s="29" t="s">
        <v>61</v>
      </c>
      <c r="C39" s="29" t="s">
        <v>252</v>
      </c>
      <c r="D39" s="29" t="s">
        <v>61</v>
      </c>
      <c r="E39" s="30">
        <v>19</v>
      </c>
      <c r="F39" s="31" t="s">
        <v>17</v>
      </c>
      <c r="G39" s="29" t="s">
        <v>253</v>
      </c>
    </row>
    <row r="40" spans="1:7" x14ac:dyDescent="0.25">
      <c r="A40" s="32" t="s">
        <v>47</v>
      </c>
      <c r="B40" s="29" t="s">
        <v>61</v>
      </c>
      <c r="C40" s="29" t="s">
        <v>254</v>
      </c>
      <c r="D40" s="29" t="s">
        <v>61</v>
      </c>
      <c r="E40" s="30">
        <v>19</v>
      </c>
      <c r="F40" s="31" t="s">
        <v>17</v>
      </c>
      <c r="G40" s="29" t="s">
        <v>253</v>
      </c>
    </row>
    <row r="41" spans="1:7" x14ac:dyDescent="0.25">
      <c r="A41" s="32" t="s">
        <v>47</v>
      </c>
      <c r="B41" s="29" t="s">
        <v>62</v>
      </c>
      <c r="C41" s="29" t="s">
        <v>255</v>
      </c>
      <c r="D41" s="29" t="s">
        <v>256</v>
      </c>
      <c r="E41" s="30">
        <v>18</v>
      </c>
      <c r="F41" s="31" t="s">
        <v>17</v>
      </c>
      <c r="G41" s="29" t="s">
        <v>257</v>
      </c>
    </row>
    <row r="42" spans="1:7" x14ac:dyDescent="0.25">
      <c r="A42" s="32" t="s">
        <v>47</v>
      </c>
      <c r="B42" s="29" t="s">
        <v>224</v>
      </c>
      <c r="C42" s="29" t="s">
        <v>258</v>
      </c>
      <c r="D42" s="29" t="s">
        <v>259</v>
      </c>
      <c r="E42" s="30">
        <v>16</v>
      </c>
      <c r="F42" s="31" t="s">
        <v>17</v>
      </c>
      <c r="G42" s="29" t="s">
        <v>227</v>
      </c>
    </row>
    <row r="43" spans="1:7" x14ac:dyDescent="0.25">
      <c r="A43" s="33" t="s">
        <v>63</v>
      </c>
      <c r="B43" s="29" t="s">
        <v>73</v>
      </c>
      <c r="C43" s="29" t="s">
        <v>260</v>
      </c>
      <c r="D43" s="29" t="s">
        <v>261</v>
      </c>
      <c r="E43" s="30" t="s">
        <v>262</v>
      </c>
      <c r="F43" s="31" t="s">
        <v>17</v>
      </c>
      <c r="G43" s="29" t="s">
        <v>263</v>
      </c>
    </row>
    <row r="44" spans="1:7" x14ac:dyDescent="0.25">
      <c r="A44" s="33" t="s">
        <v>63</v>
      </c>
      <c r="B44" s="29" t="s">
        <v>72</v>
      </c>
      <c r="C44" s="29" t="s">
        <v>264</v>
      </c>
      <c r="D44" s="29" t="s">
        <v>265</v>
      </c>
      <c r="E44" s="30">
        <v>53</v>
      </c>
      <c r="F44" s="31" t="s">
        <v>17</v>
      </c>
      <c r="G44" s="29" t="s">
        <v>266</v>
      </c>
    </row>
    <row r="45" spans="1:7" x14ac:dyDescent="0.25">
      <c r="A45" s="33" t="s">
        <v>63</v>
      </c>
      <c r="B45" s="29" t="s">
        <v>267</v>
      </c>
      <c r="C45" s="29" t="s">
        <v>268</v>
      </c>
      <c r="D45" s="29" t="s">
        <v>269</v>
      </c>
      <c r="E45" s="30">
        <v>50</v>
      </c>
      <c r="F45" s="31" t="s">
        <v>17</v>
      </c>
      <c r="G45" s="29" t="s">
        <v>253</v>
      </c>
    </row>
    <row r="46" spans="1:7" x14ac:dyDescent="0.25">
      <c r="A46" s="33" t="s">
        <v>63</v>
      </c>
      <c r="B46" s="29" t="s">
        <v>72</v>
      </c>
      <c r="C46" s="29" t="s">
        <v>270</v>
      </c>
      <c r="D46" s="29" t="s">
        <v>271</v>
      </c>
      <c r="E46" s="30">
        <v>40</v>
      </c>
      <c r="F46" s="31" t="s">
        <v>17</v>
      </c>
      <c r="G46" s="29" t="s">
        <v>184</v>
      </c>
    </row>
    <row r="47" spans="1:7" x14ac:dyDescent="0.25">
      <c r="A47" s="33" t="s">
        <v>63</v>
      </c>
      <c r="B47" s="29" t="s">
        <v>267</v>
      </c>
      <c r="C47" s="29" t="s">
        <v>272</v>
      </c>
      <c r="D47" s="29" t="s">
        <v>65</v>
      </c>
      <c r="E47" s="30">
        <v>40</v>
      </c>
      <c r="F47" s="31" t="s">
        <v>17</v>
      </c>
      <c r="G47" s="29" t="s">
        <v>253</v>
      </c>
    </row>
    <row r="48" spans="1:7" x14ac:dyDescent="0.25">
      <c r="A48" s="33" t="s">
        <v>63</v>
      </c>
      <c r="B48" s="29" t="s">
        <v>72</v>
      </c>
      <c r="C48" s="29" t="s">
        <v>273</v>
      </c>
      <c r="D48" s="29" t="s">
        <v>274</v>
      </c>
      <c r="E48" s="30">
        <v>32</v>
      </c>
      <c r="F48" s="31" t="s">
        <v>17</v>
      </c>
      <c r="G48" s="29" t="s">
        <v>245</v>
      </c>
    </row>
    <row r="49" spans="1:7" x14ac:dyDescent="0.25">
      <c r="A49" s="33" t="s">
        <v>63</v>
      </c>
      <c r="B49" s="29" t="s">
        <v>72</v>
      </c>
      <c r="C49" s="29" t="s">
        <v>275</v>
      </c>
      <c r="D49" s="29" t="s">
        <v>276</v>
      </c>
      <c r="E49" s="30">
        <v>19</v>
      </c>
      <c r="F49" s="31" t="s">
        <v>17</v>
      </c>
      <c r="G49" s="29" t="s">
        <v>277</v>
      </c>
    </row>
    <row r="50" spans="1:7" x14ac:dyDescent="0.25">
      <c r="A50" s="33" t="s">
        <v>63</v>
      </c>
      <c r="B50" s="29" t="s">
        <v>267</v>
      </c>
      <c r="C50" s="29" t="s">
        <v>278</v>
      </c>
      <c r="D50" s="29" t="s">
        <v>67</v>
      </c>
      <c r="E50" s="30">
        <v>18</v>
      </c>
      <c r="F50" s="31" t="s">
        <v>17</v>
      </c>
      <c r="G50" s="29" t="s">
        <v>253</v>
      </c>
    </row>
    <row r="51" spans="1:7" x14ac:dyDescent="0.25">
      <c r="A51" s="34" t="s">
        <v>75</v>
      </c>
      <c r="B51" s="29" t="s">
        <v>79</v>
      </c>
      <c r="C51" s="29" t="s">
        <v>279</v>
      </c>
      <c r="D51" s="29" t="s">
        <v>280</v>
      </c>
      <c r="E51" s="30">
        <v>494</v>
      </c>
      <c r="F51" s="31" t="s">
        <v>17</v>
      </c>
      <c r="G51" s="29" t="s">
        <v>170</v>
      </c>
    </row>
    <row r="52" spans="1:7" x14ac:dyDescent="0.25">
      <c r="A52" s="34" t="s">
        <v>75</v>
      </c>
      <c r="B52" s="29" t="s">
        <v>91</v>
      </c>
      <c r="C52" s="29" t="s">
        <v>281</v>
      </c>
      <c r="D52" s="29" t="s">
        <v>282</v>
      </c>
      <c r="E52" s="30">
        <v>283</v>
      </c>
      <c r="F52" s="31" t="s">
        <v>17</v>
      </c>
      <c r="G52" s="29" t="s">
        <v>170</v>
      </c>
    </row>
    <row r="53" spans="1:7" x14ac:dyDescent="0.25">
      <c r="A53" s="34" t="s">
        <v>75</v>
      </c>
      <c r="B53" s="29" t="s">
        <v>283</v>
      </c>
      <c r="C53" s="29" t="s">
        <v>284</v>
      </c>
      <c r="D53" s="29" t="s">
        <v>285</v>
      </c>
      <c r="E53" s="30">
        <v>200</v>
      </c>
      <c r="F53" s="31" t="s">
        <v>17</v>
      </c>
      <c r="G53" s="29" t="s">
        <v>286</v>
      </c>
    </row>
    <row r="54" spans="1:7" x14ac:dyDescent="0.25">
      <c r="A54" s="34" t="s">
        <v>75</v>
      </c>
      <c r="B54" s="29" t="s">
        <v>91</v>
      </c>
      <c r="C54" s="29" t="s">
        <v>287</v>
      </c>
      <c r="D54" s="29" t="s">
        <v>288</v>
      </c>
      <c r="E54" s="30">
        <v>176</v>
      </c>
      <c r="F54" s="31" t="s">
        <v>17</v>
      </c>
      <c r="G54" s="29" t="s">
        <v>170</v>
      </c>
    </row>
    <row r="55" spans="1:7" x14ac:dyDescent="0.25">
      <c r="A55" s="34" t="s">
        <v>75</v>
      </c>
      <c r="B55" s="29" t="s">
        <v>79</v>
      </c>
      <c r="C55" s="29" t="s">
        <v>289</v>
      </c>
      <c r="D55" s="29" t="s">
        <v>290</v>
      </c>
      <c r="E55" s="30">
        <v>137</v>
      </c>
      <c r="F55" s="31" t="s">
        <v>17</v>
      </c>
      <c r="G55" s="29" t="s">
        <v>291</v>
      </c>
    </row>
    <row r="56" spans="1:7" x14ac:dyDescent="0.25">
      <c r="A56" s="34" t="s">
        <v>75</v>
      </c>
      <c r="B56" s="29" t="s">
        <v>91</v>
      </c>
      <c r="C56" s="29" t="s">
        <v>292</v>
      </c>
      <c r="D56" s="29" t="s">
        <v>288</v>
      </c>
      <c r="E56" s="30">
        <v>111</v>
      </c>
      <c r="F56" s="31" t="s">
        <v>17</v>
      </c>
      <c r="G56" s="29" t="s">
        <v>170</v>
      </c>
    </row>
    <row r="57" spans="1:7" x14ac:dyDescent="0.25">
      <c r="A57" s="34" t="s">
        <v>75</v>
      </c>
      <c r="B57" s="29" t="s">
        <v>79</v>
      </c>
      <c r="C57" s="29" t="s">
        <v>293</v>
      </c>
      <c r="D57" s="29" t="s">
        <v>294</v>
      </c>
      <c r="E57" s="30">
        <v>90</v>
      </c>
      <c r="F57" s="31" t="s">
        <v>17</v>
      </c>
      <c r="G57" s="29" t="s">
        <v>170</v>
      </c>
    </row>
    <row r="58" spans="1:7" x14ac:dyDescent="0.25">
      <c r="A58" s="34" t="s">
        <v>75</v>
      </c>
      <c r="B58" s="29" t="s">
        <v>79</v>
      </c>
      <c r="C58" s="29" t="s">
        <v>295</v>
      </c>
      <c r="D58" s="29" t="s">
        <v>294</v>
      </c>
      <c r="E58" s="30">
        <v>90</v>
      </c>
      <c r="F58" s="31" t="s">
        <v>17</v>
      </c>
      <c r="G58" s="29" t="s">
        <v>170</v>
      </c>
    </row>
    <row r="59" spans="1:7" x14ac:dyDescent="0.25">
      <c r="A59" s="34" t="s">
        <v>75</v>
      </c>
      <c r="B59" s="29" t="s">
        <v>79</v>
      </c>
      <c r="C59" s="29" t="s">
        <v>296</v>
      </c>
      <c r="D59" s="29" t="s">
        <v>297</v>
      </c>
      <c r="E59" s="30">
        <v>58</v>
      </c>
      <c r="F59" s="31" t="s">
        <v>17</v>
      </c>
      <c r="G59" s="29" t="s">
        <v>170</v>
      </c>
    </row>
    <row r="60" spans="1:7" x14ac:dyDescent="0.25">
      <c r="A60" s="34" t="s">
        <v>75</v>
      </c>
      <c r="B60" s="29" t="s">
        <v>298</v>
      </c>
      <c r="C60" s="29" t="s">
        <v>299</v>
      </c>
      <c r="D60" s="29" t="s">
        <v>300</v>
      </c>
      <c r="E60" s="30">
        <v>54</v>
      </c>
      <c r="F60" s="31" t="s">
        <v>17</v>
      </c>
      <c r="G60" s="29" t="s">
        <v>170</v>
      </c>
    </row>
    <row r="61" spans="1:7" x14ac:dyDescent="0.25">
      <c r="A61" s="34" t="s">
        <v>75</v>
      </c>
      <c r="B61" s="29" t="s">
        <v>79</v>
      </c>
      <c r="C61" s="29" t="s">
        <v>301</v>
      </c>
      <c r="D61" s="29" t="s">
        <v>302</v>
      </c>
      <c r="E61" s="30">
        <v>51</v>
      </c>
      <c r="F61" s="31" t="s">
        <v>17</v>
      </c>
      <c r="G61" s="29" t="s">
        <v>170</v>
      </c>
    </row>
    <row r="62" spans="1:7" x14ac:dyDescent="0.25">
      <c r="A62" s="34" t="s">
        <v>75</v>
      </c>
      <c r="B62" s="29" t="s">
        <v>77</v>
      </c>
      <c r="C62" s="29" t="s">
        <v>303</v>
      </c>
      <c r="D62" s="29" t="s">
        <v>304</v>
      </c>
      <c r="E62" s="30">
        <v>42</v>
      </c>
      <c r="F62" s="31" t="s">
        <v>17</v>
      </c>
      <c r="G62" s="29" t="s">
        <v>170</v>
      </c>
    </row>
    <row r="63" spans="1:7" x14ac:dyDescent="0.25">
      <c r="A63" s="34" t="s">
        <v>75</v>
      </c>
      <c r="B63" s="29" t="s">
        <v>91</v>
      </c>
      <c r="C63" s="29" t="s">
        <v>305</v>
      </c>
      <c r="D63" s="29" t="s">
        <v>306</v>
      </c>
      <c r="E63" s="30">
        <v>31</v>
      </c>
      <c r="F63" s="31" t="s">
        <v>17</v>
      </c>
      <c r="G63" s="29" t="s">
        <v>170</v>
      </c>
    </row>
    <row r="64" spans="1:7" x14ac:dyDescent="0.25">
      <c r="A64" s="34" t="s">
        <v>75</v>
      </c>
      <c r="B64" s="29" t="s">
        <v>307</v>
      </c>
      <c r="C64" s="29" t="s">
        <v>308</v>
      </c>
      <c r="D64" s="29" t="s">
        <v>309</v>
      </c>
      <c r="E64" s="30">
        <v>30</v>
      </c>
      <c r="F64" s="31" t="s">
        <v>17</v>
      </c>
      <c r="G64" s="29" t="s">
        <v>170</v>
      </c>
    </row>
    <row r="65" spans="1:7" x14ac:dyDescent="0.25">
      <c r="A65" s="34" t="s">
        <v>75</v>
      </c>
      <c r="B65" s="29" t="s">
        <v>91</v>
      </c>
      <c r="C65" s="29" t="s">
        <v>310</v>
      </c>
      <c r="D65" s="29" t="s">
        <v>288</v>
      </c>
      <c r="E65" s="30">
        <v>29</v>
      </c>
      <c r="F65" s="31" t="s">
        <v>17</v>
      </c>
      <c r="G65" s="29" t="s">
        <v>170</v>
      </c>
    </row>
    <row r="66" spans="1:7" x14ac:dyDescent="0.25">
      <c r="A66" s="34" t="s">
        <v>75</v>
      </c>
      <c r="B66" s="29" t="s">
        <v>298</v>
      </c>
      <c r="C66" s="29" t="s">
        <v>311</v>
      </c>
      <c r="D66" s="29" t="s">
        <v>312</v>
      </c>
      <c r="E66" s="30">
        <v>18</v>
      </c>
      <c r="F66" s="31" t="s">
        <v>17</v>
      </c>
      <c r="G66" s="29" t="s">
        <v>170</v>
      </c>
    </row>
    <row r="67" spans="1:7" x14ac:dyDescent="0.25">
      <c r="A67" s="34" t="s">
        <v>75</v>
      </c>
      <c r="B67" s="29" t="s">
        <v>283</v>
      </c>
      <c r="C67" s="29" t="s">
        <v>313</v>
      </c>
      <c r="D67" s="29" t="s">
        <v>314</v>
      </c>
      <c r="E67" s="30">
        <v>19</v>
      </c>
      <c r="F67" s="31" t="s">
        <v>17</v>
      </c>
      <c r="G67" s="29" t="s">
        <v>170</v>
      </c>
    </row>
    <row r="68" spans="1:7" x14ac:dyDescent="0.25">
      <c r="A68" s="34" t="s">
        <v>75</v>
      </c>
      <c r="B68" s="29" t="s">
        <v>91</v>
      </c>
      <c r="C68" s="29" t="s">
        <v>315</v>
      </c>
      <c r="D68" s="29" t="s">
        <v>288</v>
      </c>
      <c r="E68" s="30">
        <v>17</v>
      </c>
      <c r="F68" s="31" t="s">
        <v>17</v>
      </c>
      <c r="G68" s="29" t="s">
        <v>170</v>
      </c>
    </row>
    <row r="69" spans="1:7" x14ac:dyDescent="0.25">
      <c r="A69" s="34" t="s">
        <v>75</v>
      </c>
      <c r="B69" s="29" t="s">
        <v>283</v>
      </c>
      <c r="C69" s="29" t="s">
        <v>316</v>
      </c>
      <c r="D69" s="29" t="s">
        <v>317</v>
      </c>
      <c r="E69" s="30">
        <v>15</v>
      </c>
      <c r="F69" s="31" t="s">
        <v>17</v>
      </c>
      <c r="G69" s="29" t="s">
        <v>170</v>
      </c>
    </row>
    <row r="70" spans="1:7" x14ac:dyDescent="0.25">
      <c r="A70" s="35" t="s">
        <v>92</v>
      </c>
      <c r="B70" s="29" t="s">
        <v>97</v>
      </c>
      <c r="C70" s="29" t="s">
        <v>318</v>
      </c>
      <c r="D70" s="29" t="s">
        <v>319</v>
      </c>
      <c r="E70" s="30">
        <v>1140</v>
      </c>
      <c r="F70" s="31" t="s">
        <v>17</v>
      </c>
      <c r="G70" s="29" t="s">
        <v>320</v>
      </c>
    </row>
    <row r="71" spans="1:7" x14ac:dyDescent="0.25">
      <c r="A71" s="35" t="s">
        <v>92</v>
      </c>
      <c r="B71" s="29" t="s">
        <v>99</v>
      </c>
      <c r="C71" s="29" t="s">
        <v>321</v>
      </c>
      <c r="D71" s="29" t="s">
        <v>322</v>
      </c>
      <c r="E71" s="30">
        <v>108</v>
      </c>
      <c r="F71" s="31" t="s">
        <v>17</v>
      </c>
      <c r="G71" s="29" t="s">
        <v>170</v>
      </c>
    </row>
    <row r="72" spans="1:7" x14ac:dyDescent="0.25">
      <c r="A72" s="35" t="s">
        <v>92</v>
      </c>
      <c r="B72" s="29" t="s">
        <v>99</v>
      </c>
      <c r="C72" s="29" t="s">
        <v>323</v>
      </c>
      <c r="D72" s="29" t="s">
        <v>324</v>
      </c>
      <c r="E72" s="30">
        <v>108</v>
      </c>
      <c r="F72" s="31" t="s">
        <v>17</v>
      </c>
      <c r="G72" s="29" t="s">
        <v>170</v>
      </c>
    </row>
    <row r="73" spans="1:7" x14ac:dyDescent="0.25">
      <c r="A73" s="35" t="s">
        <v>92</v>
      </c>
      <c r="B73" s="29" t="s">
        <v>99</v>
      </c>
      <c r="C73" s="29" t="s">
        <v>325</v>
      </c>
      <c r="D73" s="29" t="s">
        <v>326</v>
      </c>
      <c r="E73" s="30">
        <v>108</v>
      </c>
      <c r="F73" s="31" t="s">
        <v>17</v>
      </c>
      <c r="G73" s="29" t="s">
        <v>170</v>
      </c>
    </row>
    <row r="74" spans="1:7" x14ac:dyDescent="0.25">
      <c r="A74" s="35" t="s">
        <v>92</v>
      </c>
      <c r="B74" s="29" t="s">
        <v>99</v>
      </c>
      <c r="C74" s="29" t="s">
        <v>327</v>
      </c>
      <c r="D74" s="29" t="s">
        <v>328</v>
      </c>
      <c r="E74" s="30">
        <v>88</v>
      </c>
      <c r="F74" s="31" t="s">
        <v>17</v>
      </c>
      <c r="G74" s="29" t="s">
        <v>170</v>
      </c>
    </row>
    <row r="75" spans="1:7" x14ac:dyDescent="0.25">
      <c r="A75" s="35" t="s">
        <v>92</v>
      </c>
      <c r="B75" s="29" t="s">
        <v>99</v>
      </c>
      <c r="C75" s="29" t="s">
        <v>329</v>
      </c>
      <c r="D75" s="29" t="s">
        <v>330</v>
      </c>
      <c r="E75" s="30">
        <v>73</v>
      </c>
      <c r="F75" s="31" t="s">
        <v>17</v>
      </c>
      <c r="G75" s="29" t="s">
        <v>170</v>
      </c>
    </row>
    <row r="76" spans="1:7" x14ac:dyDescent="0.25">
      <c r="A76" s="35" t="s">
        <v>92</v>
      </c>
      <c r="B76" s="29" t="s">
        <v>99</v>
      </c>
      <c r="C76" s="29" t="s">
        <v>331</v>
      </c>
      <c r="D76" s="29" t="s">
        <v>332</v>
      </c>
      <c r="E76" s="30">
        <v>51</v>
      </c>
      <c r="F76" s="31" t="s">
        <v>17</v>
      </c>
      <c r="G76" s="29" t="s">
        <v>170</v>
      </c>
    </row>
    <row r="77" spans="1:7" x14ac:dyDescent="0.25">
      <c r="A77" s="35" t="s">
        <v>92</v>
      </c>
      <c r="B77" s="29" t="s">
        <v>100</v>
      </c>
      <c r="C77" s="29" t="s">
        <v>333</v>
      </c>
      <c r="D77" s="29" t="s">
        <v>334</v>
      </c>
      <c r="E77" s="30">
        <v>51</v>
      </c>
      <c r="F77" s="31" t="s">
        <v>17</v>
      </c>
      <c r="G77" s="29" t="s">
        <v>170</v>
      </c>
    </row>
    <row r="78" spans="1:7" x14ac:dyDescent="0.25">
      <c r="A78" s="35" t="s">
        <v>92</v>
      </c>
      <c r="B78" s="29" t="s">
        <v>97</v>
      </c>
      <c r="C78" s="29" t="s">
        <v>335</v>
      </c>
      <c r="D78" s="29" t="s">
        <v>336</v>
      </c>
      <c r="E78" s="30">
        <v>48</v>
      </c>
      <c r="F78" s="31" t="s">
        <v>17</v>
      </c>
      <c r="G78" s="29" t="s">
        <v>170</v>
      </c>
    </row>
    <row r="79" spans="1:7" x14ac:dyDescent="0.25">
      <c r="A79" s="35" t="s">
        <v>92</v>
      </c>
      <c r="B79" s="29" t="s">
        <v>96</v>
      </c>
      <c r="C79" s="29" t="s">
        <v>337</v>
      </c>
      <c r="D79" s="29" t="s">
        <v>338</v>
      </c>
      <c r="E79" s="30">
        <v>24</v>
      </c>
      <c r="F79" s="31" t="s">
        <v>17</v>
      </c>
      <c r="G79" s="29" t="s">
        <v>170</v>
      </c>
    </row>
    <row r="80" spans="1:7" x14ac:dyDescent="0.25">
      <c r="A80" s="35" t="s">
        <v>92</v>
      </c>
      <c r="B80" s="29" t="s">
        <v>96</v>
      </c>
      <c r="C80" s="29" t="s">
        <v>339</v>
      </c>
      <c r="D80" s="29" t="s">
        <v>340</v>
      </c>
      <c r="E80" s="30">
        <v>16</v>
      </c>
      <c r="F80" s="31" t="s">
        <v>17</v>
      </c>
      <c r="G80" s="29" t="s">
        <v>170</v>
      </c>
    </row>
    <row r="81" spans="1:7" x14ac:dyDescent="0.25">
      <c r="A81" s="36" t="s">
        <v>101</v>
      </c>
      <c r="B81" s="29" t="s">
        <v>110</v>
      </c>
      <c r="C81" s="29" t="s">
        <v>341</v>
      </c>
      <c r="D81" s="29" t="s">
        <v>342</v>
      </c>
      <c r="E81" s="30">
        <v>460</v>
      </c>
      <c r="F81" s="31" t="s">
        <v>17</v>
      </c>
      <c r="G81" s="29" t="s">
        <v>343</v>
      </c>
    </row>
    <row r="82" spans="1:7" x14ac:dyDescent="0.25">
      <c r="A82" s="36" t="s">
        <v>101</v>
      </c>
      <c r="B82" s="29" t="s">
        <v>110</v>
      </c>
      <c r="C82" s="29" t="s">
        <v>344</v>
      </c>
      <c r="D82" s="29" t="s">
        <v>345</v>
      </c>
      <c r="E82" s="30">
        <v>126</v>
      </c>
      <c r="F82" s="31" t="s">
        <v>17</v>
      </c>
      <c r="G82" s="29" t="s">
        <v>346</v>
      </c>
    </row>
    <row r="83" spans="1:7" x14ac:dyDescent="0.25">
      <c r="A83" s="36" t="s">
        <v>101</v>
      </c>
      <c r="B83" s="29" t="s">
        <v>347</v>
      </c>
      <c r="C83" s="29" t="s">
        <v>348</v>
      </c>
      <c r="D83" s="29" t="s">
        <v>349</v>
      </c>
      <c r="E83" s="30">
        <v>32</v>
      </c>
      <c r="F83" s="31" t="s">
        <v>17</v>
      </c>
      <c r="G83" s="29" t="s">
        <v>245</v>
      </c>
    </row>
    <row r="84" spans="1:7" x14ac:dyDescent="0.25">
      <c r="A84" s="36" t="s">
        <v>101</v>
      </c>
      <c r="B84" s="29" t="s">
        <v>347</v>
      </c>
      <c r="C84" s="29" t="s">
        <v>350</v>
      </c>
      <c r="D84" s="29" t="s">
        <v>351</v>
      </c>
      <c r="E84" s="30">
        <v>14</v>
      </c>
      <c r="F84" s="31" t="s">
        <v>17</v>
      </c>
      <c r="G84" s="29" t="s">
        <v>184</v>
      </c>
    </row>
    <row r="85" spans="1:7" x14ac:dyDescent="0.25">
      <c r="A85" s="37" t="s">
        <v>352</v>
      </c>
      <c r="B85" s="29" t="s">
        <v>353</v>
      </c>
      <c r="C85" s="29" t="s">
        <v>354</v>
      </c>
      <c r="D85" s="29" t="s">
        <v>355</v>
      </c>
      <c r="E85" s="30">
        <v>2582</v>
      </c>
      <c r="F85" s="31" t="s">
        <v>17</v>
      </c>
      <c r="G85" s="29" t="s">
        <v>356</v>
      </c>
    </row>
    <row r="86" spans="1:7" x14ac:dyDescent="0.25">
      <c r="A86" s="24" t="s">
        <v>16</v>
      </c>
      <c r="B86" s="24" t="s">
        <v>357</v>
      </c>
      <c r="C86" s="24" t="s">
        <v>358</v>
      </c>
      <c r="D86" s="24" t="s">
        <v>16</v>
      </c>
      <c r="E86" s="38">
        <f>SUM(E3:E85)</f>
      </c>
      <c r="F86" s="24" t="s">
        <v>16</v>
      </c>
      <c r="G86" s="24" t="s">
        <v>16</v>
      </c>
    </row>
  </sheetData>
  <autoFilter ref="A2:G2"/>
  <mergeCells count="1">
    <mergeCell ref="A1:G1"/>
  </mergeCells>
  <dataValidations count="2">
    <dataValidation type="list" allowBlank="1" sqref="F10:F85">
      <formula1>"未,済,一部"</formula1>
    </dataValidation>
    <dataValidation type="list" allowBlank="1" sqref="F3:F85">
      <formula1>"未,済,一部"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5" max="5" width="60" customWidth="1"/>
  </cols>
  <sheetData>
    <row r="1" ht="26" customHeight="1" spans="1:5" x14ac:dyDescent="0.25">
      <c r="A1" s="14" t="s">
        <v>359</v>
      </c>
      <c r="B1" s="14"/>
      <c r="C1" s="14"/>
      <c r="D1" s="14"/>
      <c r="E1" s="14"/>
    </row>
    <row r="2" spans="1:5" x14ac:dyDescent="0.25">
      <c r="A2" s="27" t="s">
        <v>117</v>
      </c>
      <c r="B2" s="27" t="s">
        <v>360</v>
      </c>
      <c r="C2" s="27" t="s">
        <v>361</v>
      </c>
      <c r="D2" s="27" t="s">
        <v>362</v>
      </c>
      <c r="E2" s="27" t="s">
        <v>363</v>
      </c>
    </row>
    <row r="3" ht="34" customHeight="1" spans="1:5" x14ac:dyDescent="0.25">
      <c r="A3" s="39" t="s">
        <v>352</v>
      </c>
      <c r="B3" s="40" t="s">
        <v>364</v>
      </c>
      <c r="C3" s="41">
        <v>800</v>
      </c>
      <c r="D3" s="42">
        <v>2</v>
      </c>
      <c r="E3" s="40" t="s">
        <v>365</v>
      </c>
    </row>
    <row r="4" ht="34" customHeight="1" spans="1:5" x14ac:dyDescent="0.25">
      <c r="A4" s="43" t="s">
        <v>11</v>
      </c>
      <c r="B4" s="40" t="s">
        <v>121</v>
      </c>
      <c r="C4" s="41">
        <v>500</v>
      </c>
      <c r="D4" s="42">
        <v>2</v>
      </c>
      <c r="E4" s="40" t="s">
        <v>366</v>
      </c>
    </row>
    <row r="5" ht="34" customHeight="1" spans="1:5" x14ac:dyDescent="0.25">
      <c r="A5" s="44" t="s">
        <v>92</v>
      </c>
      <c r="B5" s="40" t="s">
        <v>367</v>
      </c>
      <c r="C5" s="41">
        <v>500</v>
      </c>
      <c r="D5" s="42">
        <v>2</v>
      </c>
      <c r="E5" s="40" t="s">
        <v>368</v>
      </c>
    </row>
    <row r="6" ht="34" customHeight="1" spans="1:5" x14ac:dyDescent="0.25">
      <c r="A6" s="45" t="s">
        <v>75</v>
      </c>
      <c r="B6" s="40" t="s">
        <v>369</v>
      </c>
      <c r="C6" s="41">
        <v>400</v>
      </c>
      <c r="D6" s="42">
        <v>1</v>
      </c>
      <c r="E6" s="40" t="s">
        <v>370</v>
      </c>
    </row>
    <row r="7" ht="34" customHeight="1" spans="1:5" x14ac:dyDescent="0.25">
      <c r="A7" s="46" t="s">
        <v>47</v>
      </c>
      <c r="B7" s="40" t="s">
        <v>122</v>
      </c>
      <c r="C7" s="41">
        <v>300</v>
      </c>
      <c r="D7" s="42">
        <v>1</v>
      </c>
      <c r="E7" s="40" t="s">
        <v>371</v>
      </c>
    </row>
    <row r="8" ht="34" customHeight="1" spans="1:5" x14ac:dyDescent="0.25">
      <c r="A8" s="47" t="s">
        <v>63</v>
      </c>
      <c r="B8" s="40" t="s">
        <v>123</v>
      </c>
      <c r="C8" s="41">
        <v>250</v>
      </c>
      <c r="D8" s="42">
        <v>1</v>
      </c>
      <c r="E8" s="40" t="s">
        <v>372</v>
      </c>
    </row>
    <row r="9" ht="34" customHeight="1" spans="1:5" x14ac:dyDescent="0.25">
      <c r="A9" s="48" t="s">
        <v>101</v>
      </c>
      <c r="B9" s="40" t="s">
        <v>347</v>
      </c>
      <c r="C9" s="41">
        <v>250</v>
      </c>
      <c r="D9" s="42">
        <v>1</v>
      </c>
      <c r="E9" s="40" t="s">
        <v>373</v>
      </c>
    </row>
    <row r="10" spans="1:5" x14ac:dyDescent="0.25">
      <c r="A10" s="49" t="s">
        <v>127</v>
      </c>
      <c r="B10" s="49" t="s">
        <v>374</v>
      </c>
      <c r="C10" s="50">
        <f>SUM(C3:C9)</f>
      </c>
      <c r="D10" s="51">
        <f>SUM(D3:D9)</f>
      </c>
      <c r="E10" s="49" t="s">
        <v>16</v>
      </c>
    </row>
    <row r="12" spans="1:5" x14ac:dyDescent="0.25">
      <c r="A12" s="52" t="s">
        <v>375</v>
      </c>
      <c r="B12" s="52"/>
      <c r="C12" s="52"/>
      <c r="D12" s="52"/>
      <c r="E12" s="52"/>
    </row>
    <row r="13" spans="1:5" x14ac:dyDescent="0.25">
      <c r="A13" s="17" t="s">
        <v>376</v>
      </c>
      <c r="B13" s="17"/>
      <c r="C13" s="17"/>
      <c r="D13" s="17"/>
      <c r="E13" s="17"/>
    </row>
    <row r="14" spans="1:5" x14ac:dyDescent="0.25">
      <c r="A14" s="17" t="s">
        <v>377</v>
      </c>
      <c r="B14" s="17"/>
      <c r="C14" s="17"/>
      <c r="D14" s="17"/>
      <c r="E14" s="17"/>
    </row>
    <row r="15" spans="1:5" x14ac:dyDescent="0.25">
      <c r="A15" s="17" t="s">
        <v>378</v>
      </c>
      <c r="B15" s="17"/>
      <c r="C15" s="17"/>
      <c r="D15" s="17"/>
      <c r="E15" s="17"/>
    </row>
    <row r="16" spans="1:5" x14ac:dyDescent="0.25">
      <c r="A16" s="17" t="s">
        <v>379</v>
      </c>
      <c r="B16" s="17"/>
      <c r="C16" s="17"/>
      <c r="D16" s="17"/>
      <c r="E16" s="17"/>
    </row>
    <row r="17" spans="1:5" x14ac:dyDescent="0.25">
      <c r="A17" s="17" t="s">
        <v>380</v>
      </c>
      <c r="B17" s="17"/>
      <c r="C17" s="17"/>
      <c r="D17" s="17"/>
      <c r="E17" s="17"/>
    </row>
    <row r="18" spans="1:5" x14ac:dyDescent="0.25">
      <c r="A18" s="52" t="s">
        <v>381</v>
      </c>
      <c r="B18" s="52"/>
      <c r="C18" s="52"/>
      <c r="D18" s="52"/>
      <c r="E18" s="52"/>
    </row>
    <row r="19" spans="1:5" x14ac:dyDescent="0.25">
      <c r="A19" s="17" t="s">
        <v>382</v>
      </c>
      <c r="B19" s="17"/>
      <c r="C19" s="17"/>
      <c r="D19" s="17"/>
      <c r="E19" s="17"/>
    </row>
  </sheetData>
  <mergeCells count="9">
    <mergeCell ref="A1:E1"/>
    <mergeCell ref="A12:E12"/>
    <mergeCell ref="A13:E13"/>
    <mergeCell ref="A14:E14"/>
    <mergeCell ref="A15:E15"/>
    <mergeCell ref="A16:E16"/>
    <mergeCell ref="A17:E17"/>
    <mergeCell ref="A18:E18"/>
    <mergeCell ref="A19:E1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4" width="22" customWidth="1"/>
    <col min="5" max="5" width="24" customWidth="1"/>
    <col min="6" max="6" width="8" customWidth="1"/>
    <col min="7" max="7" width="11" customWidth="1"/>
    <col min="8" max="8" width="28" customWidth="1"/>
    <col min="9" max="9" width="11" customWidth="1"/>
  </cols>
  <sheetData>
    <row r="1" ht="26" customHeight="1" spans="1:11" x14ac:dyDescent="0.25">
      <c r="A1" s="14" t="s">
        <v>383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27" t="s">
        <v>384</v>
      </c>
      <c r="B2" s="27" t="s">
        <v>117</v>
      </c>
      <c r="C2" s="27" t="s">
        <v>385</v>
      </c>
      <c r="D2" s="27" t="s">
        <v>386</v>
      </c>
      <c r="E2" s="27" t="s">
        <v>131</v>
      </c>
      <c r="F2" s="27" t="s">
        <v>361</v>
      </c>
      <c r="G2" s="27" t="s">
        <v>387</v>
      </c>
      <c r="H2" s="27" t="s">
        <v>388</v>
      </c>
      <c r="I2" s="27" t="s">
        <v>389</v>
      </c>
      <c r="J2" s="27" t="s">
        <v>390</v>
      </c>
      <c r="K2" s="27" t="s">
        <v>9</v>
      </c>
    </row>
    <row r="3" spans="1:11" x14ac:dyDescent="0.25">
      <c r="A3" s="53" t="s">
        <v>391</v>
      </c>
      <c r="B3" s="54" t="s">
        <v>392</v>
      </c>
      <c r="C3" s="55" t="s">
        <v>393</v>
      </c>
      <c r="D3" s="55" t="s">
        <v>168</v>
      </c>
      <c r="E3" s="55" t="s">
        <v>394</v>
      </c>
      <c r="F3" s="56">
        <v>248</v>
      </c>
      <c r="G3" s="57" t="s">
        <v>395</v>
      </c>
      <c r="H3" s="55" t="s">
        <v>396</v>
      </c>
      <c r="I3" s="58" t="s">
        <v>397</v>
      </c>
      <c r="J3" s="55" t="s">
        <v>16</v>
      </c>
      <c r="K3" s="31" t="s">
        <v>17</v>
      </c>
    </row>
    <row r="4" spans="1:11" x14ac:dyDescent="0.25">
      <c r="A4" s="53" t="s">
        <v>391</v>
      </c>
      <c r="B4" s="54" t="s">
        <v>392</v>
      </c>
      <c r="C4" s="55" t="s">
        <v>398</v>
      </c>
      <c r="D4" s="55" t="s">
        <v>171</v>
      </c>
      <c r="E4" s="55" t="s">
        <v>399</v>
      </c>
      <c r="F4" s="56">
        <v>171</v>
      </c>
      <c r="G4" s="57" t="s">
        <v>395</v>
      </c>
      <c r="H4" s="55" t="s">
        <v>400</v>
      </c>
      <c r="I4" s="58" t="s">
        <v>397</v>
      </c>
      <c r="J4" s="55" t="s">
        <v>16</v>
      </c>
      <c r="K4" s="31" t="s">
        <v>17</v>
      </c>
    </row>
    <row r="5" spans="1:11" x14ac:dyDescent="0.25">
      <c r="A5" s="53" t="s">
        <v>391</v>
      </c>
      <c r="B5" s="54" t="s">
        <v>392</v>
      </c>
      <c r="C5" s="55" t="s">
        <v>398</v>
      </c>
      <c r="D5" s="55" t="s">
        <v>173</v>
      </c>
      <c r="E5" s="55" t="s">
        <v>401</v>
      </c>
      <c r="F5" s="56">
        <v>111</v>
      </c>
      <c r="G5" s="57" t="s">
        <v>402</v>
      </c>
      <c r="H5" s="55" t="s">
        <v>403</v>
      </c>
      <c r="I5" s="58" t="s">
        <v>397</v>
      </c>
      <c r="J5" s="55" t="s">
        <v>16</v>
      </c>
      <c r="K5" s="31" t="s">
        <v>17</v>
      </c>
    </row>
    <row r="6" spans="1:11" x14ac:dyDescent="0.25">
      <c r="A6" s="53" t="s">
        <v>391</v>
      </c>
      <c r="B6" s="54" t="s">
        <v>392</v>
      </c>
      <c r="C6" s="55" t="s">
        <v>398</v>
      </c>
      <c r="D6" s="55" t="s">
        <v>175</v>
      </c>
      <c r="E6" s="55" t="s">
        <v>404</v>
      </c>
      <c r="F6" s="56">
        <v>102</v>
      </c>
      <c r="G6" s="57" t="s">
        <v>402</v>
      </c>
      <c r="H6" s="55" t="s">
        <v>405</v>
      </c>
      <c r="I6" s="58" t="s">
        <v>397</v>
      </c>
      <c r="J6" s="55" t="s">
        <v>16</v>
      </c>
      <c r="K6" s="31" t="s">
        <v>17</v>
      </c>
    </row>
    <row r="7" spans="1:11" x14ac:dyDescent="0.25">
      <c r="A7" s="53" t="s">
        <v>391</v>
      </c>
      <c r="B7" s="54" t="s">
        <v>392</v>
      </c>
      <c r="C7" s="55" t="s">
        <v>398</v>
      </c>
      <c r="D7" s="55" t="s">
        <v>177</v>
      </c>
      <c r="E7" s="55" t="s">
        <v>406</v>
      </c>
      <c r="F7" s="56">
        <v>83</v>
      </c>
      <c r="G7" s="57" t="s">
        <v>402</v>
      </c>
      <c r="H7" s="55" t="s">
        <v>407</v>
      </c>
      <c r="I7" s="58" t="s">
        <v>397</v>
      </c>
      <c r="J7" s="55" t="s">
        <v>16</v>
      </c>
      <c r="K7" s="31" t="s">
        <v>17</v>
      </c>
    </row>
    <row r="8" spans="1:11" x14ac:dyDescent="0.25">
      <c r="A8" s="53" t="s">
        <v>391</v>
      </c>
      <c r="B8" s="54" t="s">
        <v>392</v>
      </c>
      <c r="C8" s="55" t="s">
        <v>398</v>
      </c>
      <c r="D8" s="55" t="s">
        <v>179</v>
      </c>
      <c r="E8" s="55" t="s">
        <v>408</v>
      </c>
      <c r="F8" s="56">
        <v>63</v>
      </c>
      <c r="G8" s="57" t="s">
        <v>402</v>
      </c>
      <c r="H8" s="55" t="s">
        <v>409</v>
      </c>
      <c r="I8" s="58" t="s">
        <v>397</v>
      </c>
      <c r="J8" s="55" t="s">
        <v>16</v>
      </c>
      <c r="K8" s="31" t="s">
        <v>17</v>
      </c>
    </row>
    <row r="9" spans="1:11" x14ac:dyDescent="0.25">
      <c r="A9" s="53" t="s">
        <v>391</v>
      </c>
      <c r="B9" s="54" t="s">
        <v>392</v>
      </c>
      <c r="C9" s="55" t="s">
        <v>410</v>
      </c>
      <c r="D9" s="55" t="s">
        <v>182</v>
      </c>
      <c r="E9" s="55" t="s">
        <v>411</v>
      </c>
      <c r="F9" s="56">
        <v>75</v>
      </c>
      <c r="G9" s="57" t="s">
        <v>402</v>
      </c>
      <c r="H9" s="55" t="s">
        <v>412</v>
      </c>
      <c r="I9" s="58" t="s">
        <v>397</v>
      </c>
      <c r="J9" s="55" t="s">
        <v>16</v>
      </c>
      <c r="K9" s="31" t="s">
        <v>17</v>
      </c>
    </row>
    <row r="10" spans="1:11" x14ac:dyDescent="0.25">
      <c r="A10" s="53" t="s">
        <v>391</v>
      </c>
      <c r="B10" s="54" t="s">
        <v>392</v>
      </c>
      <c r="C10" s="55" t="s">
        <v>413</v>
      </c>
      <c r="D10" s="55" t="s">
        <v>191</v>
      </c>
      <c r="E10" s="55" t="s">
        <v>414</v>
      </c>
      <c r="F10" s="56">
        <v>41</v>
      </c>
      <c r="G10" s="57" t="s">
        <v>402</v>
      </c>
      <c r="H10" s="55" t="s">
        <v>415</v>
      </c>
      <c r="I10" s="58" t="s">
        <v>397</v>
      </c>
      <c r="J10" s="55" t="s">
        <v>16</v>
      </c>
      <c r="K10" s="31" t="s">
        <v>17</v>
      </c>
    </row>
    <row r="11" spans="1:11" x14ac:dyDescent="0.25">
      <c r="A11" s="53" t="s">
        <v>391</v>
      </c>
      <c r="B11" s="54" t="s">
        <v>392</v>
      </c>
      <c r="C11" s="55" t="s">
        <v>413</v>
      </c>
      <c r="D11" s="55" t="s">
        <v>193</v>
      </c>
      <c r="E11" s="55" t="s">
        <v>416</v>
      </c>
      <c r="F11" s="56">
        <v>38</v>
      </c>
      <c r="G11" s="57" t="s">
        <v>402</v>
      </c>
      <c r="H11" s="55" t="s">
        <v>417</v>
      </c>
      <c r="I11" s="58" t="s">
        <v>397</v>
      </c>
      <c r="J11" s="55" t="s">
        <v>16</v>
      </c>
      <c r="K11" s="31" t="s">
        <v>17</v>
      </c>
    </row>
    <row r="12" spans="1:11" x14ac:dyDescent="0.25">
      <c r="A12" s="53" t="s">
        <v>391</v>
      </c>
      <c r="B12" s="54" t="s">
        <v>392</v>
      </c>
      <c r="C12" s="55" t="s">
        <v>413</v>
      </c>
      <c r="D12" s="55" t="s">
        <v>213</v>
      </c>
      <c r="E12" s="55" t="s">
        <v>418</v>
      </c>
      <c r="F12" s="56">
        <v>21</v>
      </c>
      <c r="G12" s="57" t="s">
        <v>402</v>
      </c>
      <c r="H12" s="55" t="s">
        <v>419</v>
      </c>
      <c r="I12" s="58" t="s">
        <v>397</v>
      </c>
      <c r="J12" s="55" t="s">
        <v>16</v>
      </c>
      <c r="K12" s="31" t="s">
        <v>17</v>
      </c>
    </row>
    <row r="13" spans="1:11" x14ac:dyDescent="0.25">
      <c r="A13" s="59" t="s">
        <v>420</v>
      </c>
      <c r="B13" s="60" t="s">
        <v>421</v>
      </c>
      <c r="C13" s="55" t="s">
        <v>422</v>
      </c>
      <c r="D13" s="55" t="s">
        <v>284</v>
      </c>
      <c r="E13" s="55" t="s">
        <v>423</v>
      </c>
      <c r="F13" s="56">
        <v>200</v>
      </c>
      <c r="G13" s="61" t="s">
        <v>424</v>
      </c>
      <c r="H13" s="55" t="s">
        <v>425</v>
      </c>
      <c r="I13" s="58" t="s">
        <v>397</v>
      </c>
      <c r="J13" s="55" t="s">
        <v>16</v>
      </c>
      <c r="K13" s="31" t="s">
        <v>17</v>
      </c>
    </row>
    <row r="14" spans="1:11" x14ac:dyDescent="0.25">
      <c r="A14" s="59" t="s">
        <v>420</v>
      </c>
      <c r="B14" s="60" t="s">
        <v>421</v>
      </c>
      <c r="C14" s="55" t="s">
        <v>426</v>
      </c>
      <c r="D14" s="55" t="s">
        <v>427</v>
      </c>
      <c r="E14" s="55" t="s">
        <v>428</v>
      </c>
      <c r="F14" s="56">
        <v>271</v>
      </c>
      <c r="G14" s="57" t="s">
        <v>395</v>
      </c>
      <c r="H14" s="55" t="s">
        <v>429</v>
      </c>
      <c r="I14" s="58" t="s">
        <v>397</v>
      </c>
      <c r="J14" s="55" t="s">
        <v>16</v>
      </c>
      <c r="K14" s="31" t="s">
        <v>17</v>
      </c>
    </row>
    <row r="15" spans="1:11" x14ac:dyDescent="0.25">
      <c r="A15" s="59" t="s">
        <v>420</v>
      </c>
      <c r="B15" s="60" t="s">
        <v>421</v>
      </c>
      <c r="C15" s="55" t="s">
        <v>430</v>
      </c>
      <c r="D15" s="55" t="s">
        <v>299</v>
      </c>
      <c r="E15" s="55" t="s">
        <v>431</v>
      </c>
      <c r="F15" s="56">
        <v>54</v>
      </c>
      <c r="G15" s="57" t="s">
        <v>402</v>
      </c>
      <c r="H15" s="55" t="s">
        <v>432</v>
      </c>
      <c r="I15" s="58" t="s">
        <v>397</v>
      </c>
      <c r="J15" s="55" t="s">
        <v>16</v>
      </c>
      <c r="K15" s="31" t="s">
        <v>17</v>
      </c>
    </row>
    <row r="16" spans="1:11" x14ac:dyDescent="0.25">
      <c r="A16" s="59" t="s">
        <v>420</v>
      </c>
      <c r="B16" s="60" t="s">
        <v>421</v>
      </c>
      <c r="C16" s="55" t="s">
        <v>433</v>
      </c>
      <c r="D16" s="55" t="s">
        <v>303</v>
      </c>
      <c r="E16" s="55" t="s">
        <v>434</v>
      </c>
      <c r="F16" s="56">
        <v>42</v>
      </c>
      <c r="G16" s="57" t="s">
        <v>402</v>
      </c>
      <c r="H16" s="55" t="s">
        <v>435</v>
      </c>
      <c r="I16" s="58" t="s">
        <v>397</v>
      </c>
      <c r="J16" s="55" t="s">
        <v>16</v>
      </c>
      <c r="K16" s="31" t="s">
        <v>17</v>
      </c>
    </row>
    <row r="17" spans="1:11" x14ac:dyDescent="0.25">
      <c r="A17" s="59" t="s">
        <v>420</v>
      </c>
      <c r="B17" s="60" t="s">
        <v>421</v>
      </c>
      <c r="C17" s="55" t="s">
        <v>298</v>
      </c>
      <c r="D17" s="55" t="s">
        <v>311</v>
      </c>
      <c r="E17" s="55" t="s">
        <v>436</v>
      </c>
      <c r="F17" s="56">
        <v>18</v>
      </c>
      <c r="G17" s="57" t="s">
        <v>402</v>
      </c>
      <c r="H17" s="55" t="s">
        <v>437</v>
      </c>
      <c r="I17" s="58" t="s">
        <v>397</v>
      </c>
      <c r="J17" s="55" t="s">
        <v>16</v>
      </c>
      <c r="K17" s="31" t="s">
        <v>17</v>
      </c>
    </row>
    <row r="18" spans="1:11" x14ac:dyDescent="0.25">
      <c r="A18" s="59" t="s">
        <v>420</v>
      </c>
      <c r="B18" s="60" t="s">
        <v>421</v>
      </c>
      <c r="C18" s="55" t="s">
        <v>438</v>
      </c>
      <c r="D18" s="55" t="s">
        <v>316</v>
      </c>
      <c r="E18" s="55" t="s">
        <v>439</v>
      </c>
      <c r="F18" s="56">
        <v>15</v>
      </c>
      <c r="G18" s="57" t="s">
        <v>402</v>
      </c>
      <c r="H18" s="55" t="s">
        <v>440</v>
      </c>
      <c r="I18" s="58" t="s">
        <v>397</v>
      </c>
      <c r="J18" s="55" t="s">
        <v>16</v>
      </c>
      <c r="K18" s="31" t="s">
        <v>17</v>
      </c>
    </row>
    <row r="19" spans="1:11" x14ac:dyDescent="0.25">
      <c r="A19" s="59" t="s">
        <v>420</v>
      </c>
      <c r="B19" s="62" t="s">
        <v>441</v>
      </c>
      <c r="C19" s="55" t="s">
        <v>442</v>
      </c>
      <c r="D19" s="55" t="s">
        <v>443</v>
      </c>
      <c r="E19" s="55" t="s">
        <v>444</v>
      </c>
      <c r="F19" s="56">
        <v>50</v>
      </c>
      <c r="G19" s="57" t="s">
        <v>395</v>
      </c>
      <c r="H19" s="55" t="s">
        <v>445</v>
      </c>
      <c r="I19" s="58" t="s">
        <v>397</v>
      </c>
      <c r="J19" s="55" t="s">
        <v>16</v>
      </c>
      <c r="K19" s="31" t="s">
        <v>17</v>
      </c>
    </row>
    <row r="20" spans="1:11" x14ac:dyDescent="0.25">
      <c r="A20" s="59" t="s">
        <v>420</v>
      </c>
      <c r="B20" s="62" t="s">
        <v>441</v>
      </c>
      <c r="C20" s="55" t="s">
        <v>442</v>
      </c>
      <c r="D20" s="55" t="s">
        <v>272</v>
      </c>
      <c r="E20" s="55" t="s">
        <v>446</v>
      </c>
      <c r="F20" s="56">
        <v>40</v>
      </c>
      <c r="G20" s="57" t="s">
        <v>402</v>
      </c>
      <c r="H20" s="55" t="s">
        <v>447</v>
      </c>
      <c r="I20" s="58" t="s">
        <v>397</v>
      </c>
      <c r="J20" s="55" t="s">
        <v>16</v>
      </c>
      <c r="K20" s="31" t="s">
        <v>17</v>
      </c>
    </row>
    <row r="21" spans="1:11" x14ac:dyDescent="0.25">
      <c r="A21" s="59" t="s">
        <v>420</v>
      </c>
      <c r="B21" s="62" t="s">
        <v>441</v>
      </c>
      <c r="C21" s="55" t="s">
        <v>72</v>
      </c>
      <c r="D21" s="55" t="s">
        <v>448</v>
      </c>
      <c r="E21" s="55" t="s">
        <v>449</v>
      </c>
      <c r="F21" s="56">
        <v>40</v>
      </c>
      <c r="G21" s="57" t="s">
        <v>395</v>
      </c>
      <c r="H21" s="55" t="s">
        <v>450</v>
      </c>
      <c r="I21" s="58" t="s">
        <v>397</v>
      </c>
      <c r="J21" s="55" t="s">
        <v>16</v>
      </c>
      <c r="K21" s="31" t="s">
        <v>17</v>
      </c>
    </row>
    <row r="22" spans="1:11" x14ac:dyDescent="0.25">
      <c r="A22" s="59" t="s">
        <v>420</v>
      </c>
      <c r="B22" s="62" t="s">
        <v>441</v>
      </c>
      <c r="C22" s="55" t="s">
        <v>72</v>
      </c>
      <c r="D22" s="55" t="s">
        <v>273</v>
      </c>
      <c r="E22" s="55" t="s">
        <v>451</v>
      </c>
      <c r="F22" s="56">
        <v>30</v>
      </c>
      <c r="G22" s="57" t="s">
        <v>402</v>
      </c>
      <c r="H22" s="55" t="s">
        <v>452</v>
      </c>
      <c r="I22" s="58" t="s">
        <v>397</v>
      </c>
      <c r="J22" s="55" t="s">
        <v>16</v>
      </c>
      <c r="K22" s="31" t="s">
        <v>17</v>
      </c>
    </row>
    <row r="23" spans="1:11" x14ac:dyDescent="0.25">
      <c r="A23" s="59" t="s">
        <v>420</v>
      </c>
      <c r="B23" s="62" t="s">
        <v>441</v>
      </c>
      <c r="C23" s="55" t="s">
        <v>453</v>
      </c>
      <c r="D23" s="55" t="s">
        <v>278</v>
      </c>
      <c r="E23" s="55" t="s">
        <v>454</v>
      </c>
      <c r="F23" s="56">
        <v>18</v>
      </c>
      <c r="G23" s="57" t="s">
        <v>402</v>
      </c>
      <c r="H23" s="55" t="s">
        <v>455</v>
      </c>
      <c r="I23" s="58" t="s">
        <v>397</v>
      </c>
      <c r="J23" s="55" t="s">
        <v>16</v>
      </c>
      <c r="K23" s="31" t="s">
        <v>17</v>
      </c>
    </row>
    <row r="24" spans="1:11" x14ac:dyDescent="0.25">
      <c r="A24" s="59" t="s">
        <v>420</v>
      </c>
      <c r="B24" s="62" t="s">
        <v>441</v>
      </c>
      <c r="C24" s="55" t="s">
        <v>72</v>
      </c>
      <c r="D24" s="55" t="s">
        <v>275</v>
      </c>
      <c r="E24" s="55" t="s">
        <v>456</v>
      </c>
      <c r="F24" s="56">
        <v>19</v>
      </c>
      <c r="G24" s="57" t="s">
        <v>402</v>
      </c>
      <c r="H24" s="55" t="s">
        <v>457</v>
      </c>
      <c r="I24" s="58" t="s">
        <v>397</v>
      </c>
      <c r="J24" s="55" t="s">
        <v>16</v>
      </c>
      <c r="K24" s="31" t="s">
        <v>17</v>
      </c>
    </row>
    <row r="25" spans="1:11" x14ac:dyDescent="0.25">
      <c r="A25" s="59" t="s">
        <v>420</v>
      </c>
      <c r="B25" s="63" t="s">
        <v>458</v>
      </c>
      <c r="C25" s="55" t="s">
        <v>459</v>
      </c>
      <c r="D25" s="55" t="s">
        <v>325</v>
      </c>
      <c r="E25" s="55" t="s">
        <v>460</v>
      </c>
      <c r="F25" s="56">
        <v>108</v>
      </c>
      <c r="G25" s="57" t="s">
        <v>395</v>
      </c>
      <c r="H25" s="55" t="s">
        <v>461</v>
      </c>
      <c r="I25" s="58" t="s">
        <v>397</v>
      </c>
      <c r="J25" s="55" t="s">
        <v>16</v>
      </c>
      <c r="K25" s="31" t="s">
        <v>17</v>
      </c>
    </row>
    <row r="26" spans="1:11" x14ac:dyDescent="0.25">
      <c r="A26" s="59" t="s">
        <v>420</v>
      </c>
      <c r="B26" s="63" t="s">
        <v>458</v>
      </c>
      <c r="C26" s="55" t="s">
        <v>398</v>
      </c>
      <c r="D26" s="55" t="s">
        <v>327</v>
      </c>
      <c r="E26" s="55" t="s">
        <v>462</v>
      </c>
      <c r="F26" s="56">
        <v>88</v>
      </c>
      <c r="G26" s="57" t="s">
        <v>395</v>
      </c>
      <c r="H26" s="55" t="s">
        <v>463</v>
      </c>
      <c r="I26" s="58" t="s">
        <v>397</v>
      </c>
      <c r="J26" s="55" t="s">
        <v>16</v>
      </c>
      <c r="K26" s="31" t="s">
        <v>17</v>
      </c>
    </row>
    <row r="27" spans="1:11" x14ac:dyDescent="0.25">
      <c r="A27" s="59" t="s">
        <v>420</v>
      </c>
      <c r="B27" s="63" t="s">
        <v>458</v>
      </c>
      <c r="C27" s="55" t="s">
        <v>398</v>
      </c>
      <c r="D27" s="55" t="s">
        <v>323</v>
      </c>
      <c r="E27" s="55" t="s">
        <v>464</v>
      </c>
      <c r="F27" s="56">
        <v>54</v>
      </c>
      <c r="G27" s="57" t="s">
        <v>395</v>
      </c>
      <c r="H27" s="55" t="s">
        <v>465</v>
      </c>
      <c r="I27" s="58" t="s">
        <v>397</v>
      </c>
      <c r="J27" s="55" t="s">
        <v>16</v>
      </c>
      <c r="K27" s="31" t="s">
        <v>17</v>
      </c>
    </row>
    <row r="28" spans="1:11" x14ac:dyDescent="0.25">
      <c r="A28" s="24" t="s">
        <v>16</v>
      </c>
      <c r="B28" s="24" t="s">
        <v>16</v>
      </c>
      <c r="C28" s="24" t="s">
        <v>16</v>
      </c>
      <c r="D28" s="24" t="s">
        <v>16</v>
      </c>
      <c r="E28" s="24" t="s">
        <v>357</v>
      </c>
      <c r="F28" s="50">
        <f>SUM(F3:F27)</f>
      </c>
      <c r="G28" s="24" t="s">
        <v>16</v>
      </c>
      <c r="H28" s="24" t="s">
        <v>16</v>
      </c>
      <c r="I28" s="24" t="s">
        <v>16</v>
      </c>
      <c r="J28" s="24" t="s">
        <v>16</v>
      </c>
      <c r="K28" s="24" t="s">
        <v>16</v>
      </c>
    </row>
    <row r="30" spans="1:11" x14ac:dyDescent="0.25">
      <c r="A30" s="52" t="s">
        <v>466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</row>
    <row r="31" spans="1:11" x14ac:dyDescent="0.25">
      <c r="A31" s="17" t="s">
        <v>467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x14ac:dyDescent="0.25">
      <c r="A32" s="52" t="s">
        <v>468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</row>
    <row r="33" spans="1:11" x14ac:dyDescent="0.25">
      <c r="A33" s="17" t="s">
        <v>469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 x14ac:dyDescent="0.25">
      <c r="A34" s="17" t="s">
        <v>470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1:11" x14ac:dyDescent="0.25">
      <c r="A35" s="52" t="s">
        <v>471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</row>
    <row r="36" spans="1:11" x14ac:dyDescent="0.25">
      <c r="A36" s="17" t="s">
        <v>472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1:11" x14ac:dyDescent="0.25">
      <c r="A37" s="17" t="s">
        <v>473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1" x14ac:dyDescent="0.25">
      <c r="A38" s="17" t="s">
        <v>474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1" x14ac:dyDescent="0.25">
      <c r="A39" s="17" t="s">
        <v>475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1" x14ac:dyDescent="0.25">
      <c r="A40" s="52" t="s">
        <v>476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</row>
    <row r="41" spans="1:11" x14ac:dyDescent="0.25">
      <c r="A41" s="17" t="s">
        <v>477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</row>
  </sheetData>
  <mergeCells count="13">
    <mergeCell ref="A1:K1"/>
    <mergeCell ref="A30:K30"/>
    <mergeCell ref="A31:K31"/>
    <mergeCell ref="A32:K32"/>
    <mergeCell ref="A33:K33"/>
    <mergeCell ref="A34:K34"/>
    <mergeCell ref="A35:K35"/>
    <mergeCell ref="A36:K36"/>
    <mergeCell ref="A37:K37"/>
    <mergeCell ref="A38:K38"/>
    <mergeCell ref="A39:K39"/>
    <mergeCell ref="A40:K40"/>
    <mergeCell ref="A41:K41"/>
  </mergeCells>
  <dataValidations count="2">
    <dataValidation type="list" allowBlank="1" sqref="K10:K27">
      <formula1>"未,済,一部"</formula1>
    </dataValidation>
    <dataValidation type="list" allowBlank="1" sqref="K3:K27">
      <formula1>"未,済,一部"</formula1>
    </dataValidation>
  </dataValidations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4" customWidth="1"/>
    <col min="3" max="3" width="28" customWidth="1"/>
    <col min="4" max="4" width="24" customWidth="1"/>
    <col min="5" max="5" width="8" customWidth="1"/>
    <col min="6" max="6" width="11" customWidth="1"/>
    <col min="7" max="7" width="22" customWidth="1"/>
    <col min="8" max="8" width="11" customWidth="1"/>
  </cols>
  <sheetData>
    <row r="1" ht="26" customHeight="1" spans="1:9" x14ac:dyDescent="0.25">
      <c r="A1" s="14" t="s">
        <v>478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27" t="s">
        <v>479</v>
      </c>
      <c r="B2" s="27" t="s">
        <v>480</v>
      </c>
      <c r="C2" s="27" t="s">
        <v>386</v>
      </c>
      <c r="D2" s="27" t="s">
        <v>131</v>
      </c>
      <c r="E2" s="27" t="s">
        <v>361</v>
      </c>
      <c r="F2" s="27" t="s">
        <v>387</v>
      </c>
      <c r="G2" s="27" t="s">
        <v>388</v>
      </c>
      <c r="H2" s="27" t="s">
        <v>389</v>
      </c>
      <c r="I2" s="27" t="s">
        <v>9</v>
      </c>
    </row>
    <row r="3" spans="1:9" x14ac:dyDescent="0.25">
      <c r="A3" s="64" t="s">
        <v>481</v>
      </c>
      <c r="B3" s="55" t="s">
        <v>482</v>
      </c>
      <c r="C3" s="55" t="s">
        <v>225</v>
      </c>
      <c r="D3" s="55" t="s">
        <v>483</v>
      </c>
      <c r="E3" s="56">
        <v>106</v>
      </c>
      <c r="F3" s="57" t="s">
        <v>402</v>
      </c>
      <c r="G3" s="55" t="s">
        <v>484</v>
      </c>
      <c r="H3" s="65" t="s">
        <v>397</v>
      </c>
      <c r="I3" s="31" t="s">
        <v>17</v>
      </c>
    </row>
    <row r="4" spans="1:9" x14ac:dyDescent="0.25">
      <c r="A4" s="64" t="s">
        <v>481</v>
      </c>
      <c r="B4" s="55" t="s">
        <v>482</v>
      </c>
      <c r="C4" s="55" t="s">
        <v>485</v>
      </c>
      <c r="D4" s="55" t="s">
        <v>486</v>
      </c>
      <c r="E4" s="56">
        <v>56</v>
      </c>
      <c r="F4" s="57" t="s">
        <v>395</v>
      </c>
      <c r="G4" s="55" t="s">
        <v>484</v>
      </c>
      <c r="H4" s="65" t="s">
        <v>397</v>
      </c>
      <c r="I4" s="31" t="s">
        <v>17</v>
      </c>
    </row>
    <row r="5" spans="1:9" x14ac:dyDescent="0.25">
      <c r="A5" s="64" t="s">
        <v>481</v>
      </c>
      <c r="B5" s="55" t="s">
        <v>482</v>
      </c>
      <c r="C5" s="55" t="s">
        <v>233</v>
      </c>
      <c r="D5" s="55" t="s">
        <v>487</v>
      </c>
      <c r="E5" s="56">
        <v>54</v>
      </c>
      <c r="F5" s="57" t="s">
        <v>402</v>
      </c>
      <c r="G5" s="55" t="s">
        <v>484</v>
      </c>
      <c r="H5" s="65" t="s">
        <v>397</v>
      </c>
      <c r="I5" s="31" t="s">
        <v>17</v>
      </c>
    </row>
    <row r="6" spans="1:9" x14ac:dyDescent="0.25">
      <c r="A6" s="64" t="s">
        <v>481</v>
      </c>
      <c r="B6" s="55" t="s">
        <v>482</v>
      </c>
      <c r="C6" s="55" t="s">
        <v>237</v>
      </c>
      <c r="D6" s="55" t="s">
        <v>488</v>
      </c>
      <c r="E6" s="56">
        <v>45</v>
      </c>
      <c r="F6" s="57" t="s">
        <v>402</v>
      </c>
      <c r="G6" s="55" t="s">
        <v>484</v>
      </c>
      <c r="H6" s="65" t="s">
        <v>397</v>
      </c>
      <c r="I6" s="31" t="s">
        <v>17</v>
      </c>
    </row>
    <row r="7" spans="1:9" x14ac:dyDescent="0.25">
      <c r="A7" s="64" t="s">
        <v>481</v>
      </c>
      <c r="B7" s="55" t="s">
        <v>489</v>
      </c>
      <c r="C7" s="55" t="s">
        <v>235</v>
      </c>
      <c r="D7" s="55" t="s">
        <v>490</v>
      </c>
      <c r="E7" s="56">
        <v>44</v>
      </c>
      <c r="F7" s="57" t="s">
        <v>402</v>
      </c>
      <c r="G7" s="55" t="s">
        <v>491</v>
      </c>
      <c r="H7" s="65" t="s">
        <v>397</v>
      </c>
      <c r="I7" s="31" t="s">
        <v>17</v>
      </c>
    </row>
    <row r="8" spans="1:9" x14ac:dyDescent="0.25">
      <c r="A8" s="64" t="s">
        <v>481</v>
      </c>
      <c r="B8" s="55" t="s">
        <v>482</v>
      </c>
      <c r="C8" s="55" t="s">
        <v>239</v>
      </c>
      <c r="D8" s="55" t="s">
        <v>492</v>
      </c>
      <c r="E8" s="56">
        <v>40</v>
      </c>
      <c r="F8" s="57" t="s">
        <v>402</v>
      </c>
      <c r="G8" s="55" t="s">
        <v>484</v>
      </c>
      <c r="H8" s="65" t="s">
        <v>397</v>
      </c>
      <c r="I8" s="31" t="s">
        <v>17</v>
      </c>
    </row>
    <row r="9" spans="1:9" x14ac:dyDescent="0.25">
      <c r="A9" s="64" t="s">
        <v>481</v>
      </c>
      <c r="B9" s="55" t="s">
        <v>489</v>
      </c>
      <c r="C9" s="55" t="s">
        <v>241</v>
      </c>
      <c r="D9" s="55" t="s">
        <v>493</v>
      </c>
      <c r="E9" s="56">
        <v>28</v>
      </c>
      <c r="F9" s="57" t="s">
        <v>402</v>
      </c>
      <c r="G9" s="55" t="s">
        <v>491</v>
      </c>
      <c r="H9" s="65" t="s">
        <v>397</v>
      </c>
      <c r="I9" s="31" t="s">
        <v>17</v>
      </c>
    </row>
    <row r="10" spans="1:9" x14ac:dyDescent="0.25">
      <c r="A10" s="64" t="s">
        <v>481</v>
      </c>
      <c r="B10" s="55" t="s">
        <v>494</v>
      </c>
      <c r="C10" s="55" t="s">
        <v>247</v>
      </c>
      <c r="D10" s="55" t="s">
        <v>495</v>
      </c>
      <c r="E10" s="56">
        <v>27</v>
      </c>
      <c r="F10" s="57" t="s">
        <v>402</v>
      </c>
      <c r="G10" s="55" t="s">
        <v>496</v>
      </c>
      <c r="H10" s="65" t="s">
        <v>397</v>
      </c>
      <c r="I10" s="31" t="s">
        <v>17</v>
      </c>
    </row>
    <row r="11" spans="1:9" x14ac:dyDescent="0.25">
      <c r="A11" s="64" t="s">
        <v>481</v>
      </c>
      <c r="B11" s="55" t="s">
        <v>497</v>
      </c>
      <c r="C11" s="55" t="s">
        <v>250</v>
      </c>
      <c r="D11" s="55" t="s">
        <v>498</v>
      </c>
      <c r="E11" s="56">
        <v>24</v>
      </c>
      <c r="F11" s="57" t="s">
        <v>402</v>
      </c>
      <c r="G11" s="55" t="s">
        <v>499</v>
      </c>
      <c r="H11" s="65" t="s">
        <v>397</v>
      </c>
      <c r="I11" s="31" t="s">
        <v>17</v>
      </c>
    </row>
    <row r="12" spans="1:9" x14ac:dyDescent="0.25">
      <c r="A12" s="64" t="s">
        <v>481</v>
      </c>
      <c r="B12" s="55" t="s">
        <v>482</v>
      </c>
      <c r="C12" s="55" t="s">
        <v>258</v>
      </c>
      <c r="D12" s="55" t="s">
        <v>500</v>
      </c>
      <c r="E12" s="56">
        <v>16</v>
      </c>
      <c r="F12" s="57" t="s">
        <v>402</v>
      </c>
      <c r="G12" s="55" t="s">
        <v>484</v>
      </c>
      <c r="H12" s="65" t="s">
        <v>397</v>
      </c>
      <c r="I12" s="31" t="s">
        <v>17</v>
      </c>
    </row>
    <row r="13" spans="1:9" x14ac:dyDescent="0.25">
      <c r="A13" s="54" t="s">
        <v>501</v>
      </c>
      <c r="B13" s="55" t="s">
        <v>502</v>
      </c>
      <c r="C13" s="55" t="s">
        <v>185</v>
      </c>
      <c r="D13" s="55" t="s">
        <v>503</v>
      </c>
      <c r="E13" s="56">
        <v>71</v>
      </c>
      <c r="F13" s="57" t="s">
        <v>402</v>
      </c>
      <c r="G13" s="55" t="s">
        <v>504</v>
      </c>
      <c r="H13" s="65" t="s">
        <v>397</v>
      </c>
      <c r="I13" s="31" t="s">
        <v>17</v>
      </c>
    </row>
    <row r="14" spans="1:9" x14ac:dyDescent="0.25">
      <c r="A14" s="54" t="s">
        <v>501</v>
      </c>
      <c r="B14" s="55" t="s">
        <v>505</v>
      </c>
      <c r="C14" s="55" t="s">
        <v>187</v>
      </c>
      <c r="D14" s="55" t="s">
        <v>506</v>
      </c>
      <c r="E14" s="56">
        <v>48</v>
      </c>
      <c r="F14" s="61" t="s">
        <v>507</v>
      </c>
      <c r="G14" s="55" t="s">
        <v>508</v>
      </c>
      <c r="H14" s="65" t="s">
        <v>397</v>
      </c>
      <c r="I14" s="31" t="s">
        <v>17</v>
      </c>
    </row>
    <row r="15" spans="1:9" x14ac:dyDescent="0.25">
      <c r="A15" s="54" t="s">
        <v>501</v>
      </c>
      <c r="B15" s="55" t="s">
        <v>509</v>
      </c>
      <c r="C15" s="55" t="s">
        <v>189</v>
      </c>
      <c r="D15" s="55" t="s">
        <v>510</v>
      </c>
      <c r="E15" s="56">
        <v>42</v>
      </c>
      <c r="F15" s="61" t="s">
        <v>507</v>
      </c>
      <c r="G15" s="55" t="s">
        <v>508</v>
      </c>
      <c r="H15" s="65" t="s">
        <v>397</v>
      </c>
      <c r="I15" s="31" t="s">
        <v>17</v>
      </c>
    </row>
    <row r="16" spans="1:9" x14ac:dyDescent="0.25">
      <c r="A16" s="54" t="s">
        <v>501</v>
      </c>
      <c r="B16" s="55" t="s">
        <v>195</v>
      </c>
      <c r="C16" s="55" t="s">
        <v>511</v>
      </c>
      <c r="D16" s="55" t="s">
        <v>512</v>
      </c>
      <c r="E16" s="56">
        <v>33</v>
      </c>
      <c r="F16" s="61" t="s">
        <v>507</v>
      </c>
      <c r="G16" s="55" t="s">
        <v>508</v>
      </c>
      <c r="H16" s="65" t="s">
        <v>397</v>
      </c>
      <c r="I16" s="31" t="s">
        <v>17</v>
      </c>
    </row>
    <row r="17" spans="1:9" x14ac:dyDescent="0.25">
      <c r="A17" s="54" t="s">
        <v>501</v>
      </c>
      <c r="B17" s="55" t="s">
        <v>513</v>
      </c>
      <c r="C17" s="55" t="s">
        <v>199</v>
      </c>
      <c r="D17" s="55" t="s">
        <v>514</v>
      </c>
      <c r="E17" s="56">
        <v>32</v>
      </c>
      <c r="F17" s="57" t="s">
        <v>402</v>
      </c>
      <c r="G17" s="55" t="s">
        <v>504</v>
      </c>
      <c r="H17" s="65" t="s">
        <v>397</v>
      </c>
      <c r="I17" s="31" t="s">
        <v>17</v>
      </c>
    </row>
    <row r="18" spans="1:9" x14ac:dyDescent="0.25">
      <c r="A18" s="54" t="s">
        <v>501</v>
      </c>
      <c r="B18" s="55" t="s">
        <v>515</v>
      </c>
      <c r="C18" s="55" t="s">
        <v>201</v>
      </c>
      <c r="D18" s="55" t="s">
        <v>516</v>
      </c>
      <c r="E18" s="56">
        <v>30</v>
      </c>
      <c r="F18" s="61" t="s">
        <v>507</v>
      </c>
      <c r="G18" s="55" t="s">
        <v>508</v>
      </c>
      <c r="H18" s="65" t="s">
        <v>397</v>
      </c>
      <c r="I18" s="31" t="s">
        <v>17</v>
      </c>
    </row>
    <row r="19" spans="1:9" x14ac:dyDescent="0.25">
      <c r="A19" s="54" t="s">
        <v>501</v>
      </c>
      <c r="B19" s="55" t="s">
        <v>515</v>
      </c>
      <c r="C19" s="55" t="s">
        <v>203</v>
      </c>
      <c r="D19" s="55" t="s">
        <v>517</v>
      </c>
      <c r="E19" s="56">
        <v>28</v>
      </c>
      <c r="F19" s="61" t="s">
        <v>507</v>
      </c>
      <c r="G19" s="55" t="s">
        <v>508</v>
      </c>
      <c r="H19" s="65" t="s">
        <v>397</v>
      </c>
      <c r="I19" s="31" t="s">
        <v>17</v>
      </c>
    </row>
    <row r="20" spans="1:9" x14ac:dyDescent="0.25">
      <c r="A20" s="54" t="s">
        <v>501</v>
      </c>
      <c r="B20" s="55" t="s">
        <v>513</v>
      </c>
      <c r="C20" s="55" t="s">
        <v>205</v>
      </c>
      <c r="D20" s="55" t="s">
        <v>518</v>
      </c>
      <c r="E20" s="56">
        <v>26</v>
      </c>
      <c r="F20" s="57" t="s">
        <v>402</v>
      </c>
      <c r="G20" s="55" t="s">
        <v>504</v>
      </c>
      <c r="H20" s="65" t="s">
        <v>397</v>
      </c>
      <c r="I20" s="31" t="s">
        <v>17</v>
      </c>
    </row>
    <row r="21" spans="1:9" x14ac:dyDescent="0.25">
      <c r="A21" s="54" t="s">
        <v>501</v>
      </c>
      <c r="B21" s="55" t="s">
        <v>515</v>
      </c>
      <c r="C21" s="55" t="s">
        <v>207</v>
      </c>
      <c r="D21" s="55" t="s">
        <v>519</v>
      </c>
      <c r="E21" s="56">
        <v>25</v>
      </c>
      <c r="F21" s="61" t="s">
        <v>507</v>
      </c>
      <c r="G21" s="55" t="s">
        <v>508</v>
      </c>
      <c r="H21" s="65" t="s">
        <v>397</v>
      </c>
      <c r="I21" s="31" t="s">
        <v>17</v>
      </c>
    </row>
    <row r="22" spans="1:9" x14ac:dyDescent="0.25">
      <c r="A22" s="54" t="s">
        <v>501</v>
      </c>
      <c r="B22" s="55" t="s">
        <v>520</v>
      </c>
      <c r="C22" s="55" t="s">
        <v>209</v>
      </c>
      <c r="D22" s="55" t="s">
        <v>521</v>
      </c>
      <c r="E22" s="56">
        <v>24</v>
      </c>
      <c r="F22" s="57" t="s">
        <v>402</v>
      </c>
      <c r="G22" s="55" t="s">
        <v>504</v>
      </c>
      <c r="H22" s="65" t="s">
        <v>397</v>
      </c>
      <c r="I22" s="31" t="s">
        <v>17</v>
      </c>
    </row>
    <row r="23" spans="1:9" x14ac:dyDescent="0.25">
      <c r="A23" s="54" t="s">
        <v>501</v>
      </c>
      <c r="B23" s="55" t="s">
        <v>522</v>
      </c>
      <c r="C23" s="55" t="s">
        <v>211</v>
      </c>
      <c r="D23" s="55" t="s">
        <v>523</v>
      </c>
      <c r="E23" s="56">
        <v>24</v>
      </c>
      <c r="F23" s="61" t="s">
        <v>507</v>
      </c>
      <c r="G23" s="55" t="s">
        <v>508</v>
      </c>
      <c r="H23" s="65" t="s">
        <v>397</v>
      </c>
      <c r="I23" s="31" t="s">
        <v>17</v>
      </c>
    </row>
    <row r="24" spans="1:9" x14ac:dyDescent="0.25">
      <c r="A24" s="54" t="s">
        <v>501</v>
      </c>
      <c r="B24" s="55" t="s">
        <v>524</v>
      </c>
      <c r="C24" s="55" t="s">
        <v>215</v>
      </c>
      <c r="D24" s="55" t="s">
        <v>525</v>
      </c>
      <c r="E24" s="56">
        <v>21</v>
      </c>
      <c r="F24" s="57" t="s">
        <v>402</v>
      </c>
      <c r="G24" s="55" t="s">
        <v>504</v>
      </c>
      <c r="H24" s="65" t="s">
        <v>397</v>
      </c>
      <c r="I24" s="31" t="s">
        <v>17</v>
      </c>
    </row>
    <row r="25" spans="1:9" x14ac:dyDescent="0.25">
      <c r="A25" s="54" t="s">
        <v>501</v>
      </c>
      <c r="B25" s="55" t="s">
        <v>524</v>
      </c>
      <c r="C25" s="55" t="s">
        <v>218</v>
      </c>
      <c r="D25" s="55" t="s">
        <v>526</v>
      </c>
      <c r="E25" s="56">
        <v>19</v>
      </c>
      <c r="F25" s="57" t="s">
        <v>402</v>
      </c>
      <c r="G25" s="55" t="s">
        <v>504</v>
      </c>
      <c r="H25" s="65" t="s">
        <v>397</v>
      </c>
      <c r="I25" s="31" t="s">
        <v>17</v>
      </c>
    </row>
    <row r="26" spans="1:9" x14ac:dyDescent="0.25">
      <c r="A26" s="54" t="s">
        <v>501</v>
      </c>
      <c r="B26" s="55" t="s">
        <v>527</v>
      </c>
      <c r="C26" s="55" t="s">
        <v>220</v>
      </c>
      <c r="D26" s="55" t="s">
        <v>528</v>
      </c>
      <c r="E26" s="56">
        <v>15</v>
      </c>
      <c r="F26" s="57" t="s">
        <v>402</v>
      </c>
      <c r="G26" s="55" t="s">
        <v>504</v>
      </c>
      <c r="H26" s="65" t="s">
        <v>397</v>
      </c>
      <c r="I26" s="31" t="s">
        <v>17</v>
      </c>
    </row>
    <row r="27" spans="1:9" x14ac:dyDescent="0.25">
      <c r="A27" s="54" t="s">
        <v>501</v>
      </c>
      <c r="B27" s="55" t="s">
        <v>524</v>
      </c>
      <c r="C27" s="55" t="s">
        <v>222</v>
      </c>
      <c r="D27" s="55" t="s">
        <v>529</v>
      </c>
      <c r="E27" s="56">
        <v>15</v>
      </c>
      <c r="F27" s="57" t="s">
        <v>402</v>
      </c>
      <c r="G27" s="55" t="s">
        <v>504</v>
      </c>
      <c r="H27" s="65" t="s">
        <v>397</v>
      </c>
      <c r="I27" s="31" t="s">
        <v>17</v>
      </c>
    </row>
    <row r="28" spans="1:9" x14ac:dyDescent="0.25">
      <c r="A28" s="54" t="s">
        <v>501</v>
      </c>
      <c r="B28" s="55" t="s">
        <v>530</v>
      </c>
      <c r="C28" s="55" t="s">
        <v>531</v>
      </c>
      <c r="D28" s="55" t="s">
        <v>408</v>
      </c>
      <c r="E28" s="56">
        <v>15</v>
      </c>
      <c r="F28" s="57" t="s">
        <v>402</v>
      </c>
      <c r="G28" s="55" t="s">
        <v>532</v>
      </c>
      <c r="H28" s="65" t="s">
        <v>397</v>
      </c>
      <c r="I28" s="31" t="s">
        <v>17</v>
      </c>
    </row>
    <row r="29" spans="1:9" x14ac:dyDescent="0.25">
      <c r="A29" s="66" t="s">
        <v>533</v>
      </c>
      <c r="B29" s="55" t="s">
        <v>534</v>
      </c>
      <c r="C29" s="55" t="s">
        <v>348</v>
      </c>
      <c r="D29" s="55" t="s">
        <v>535</v>
      </c>
      <c r="E29" s="56">
        <v>32</v>
      </c>
      <c r="F29" s="57" t="s">
        <v>402</v>
      </c>
      <c r="G29" s="55" t="s">
        <v>536</v>
      </c>
      <c r="H29" s="65" t="s">
        <v>397</v>
      </c>
      <c r="I29" s="31" t="s">
        <v>17</v>
      </c>
    </row>
    <row r="30" spans="1:9" x14ac:dyDescent="0.25">
      <c r="A30" s="66" t="s">
        <v>533</v>
      </c>
      <c r="B30" s="55" t="s">
        <v>537</v>
      </c>
      <c r="C30" s="55" t="s">
        <v>350</v>
      </c>
      <c r="D30" s="55" t="s">
        <v>538</v>
      </c>
      <c r="E30" s="56">
        <v>14</v>
      </c>
      <c r="F30" s="57" t="s">
        <v>402</v>
      </c>
      <c r="G30" s="55" t="s">
        <v>536</v>
      </c>
      <c r="H30" s="65" t="s">
        <v>397</v>
      </c>
      <c r="I30" s="31" t="s">
        <v>17</v>
      </c>
    </row>
    <row r="31" spans="1:9" x14ac:dyDescent="0.25">
      <c r="A31" s="66" t="s">
        <v>533</v>
      </c>
      <c r="B31" s="55" t="s">
        <v>539</v>
      </c>
      <c r="C31" s="55" t="s">
        <v>540</v>
      </c>
      <c r="D31" s="55" t="s">
        <v>541</v>
      </c>
      <c r="E31" s="56">
        <v>46</v>
      </c>
      <c r="F31" s="57" t="s">
        <v>542</v>
      </c>
      <c r="G31" s="55" t="s">
        <v>543</v>
      </c>
      <c r="H31" s="65" t="s">
        <v>397</v>
      </c>
      <c r="I31" s="31" t="s">
        <v>17</v>
      </c>
    </row>
    <row r="32" spans="1:9" x14ac:dyDescent="0.25">
      <c r="A32" s="24" t="s">
        <v>16</v>
      </c>
      <c r="B32" s="24" t="s">
        <v>16</v>
      </c>
      <c r="C32" s="24" t="s">
        <v>16</v>
      </c>
      <c r="D32" s="24" t="s">
        <v>357</v>
      </c>
      <c r="E32" s="50">
        <f>SUM(E3:E31)</f>
      </c>
      <c r="F32" s="24" t="s">
        <v>16</v>
      </c>
      <c r="G32" s="24" t="s">
        <v>16</v>
      </c>
      <c r="H32" s="24" t="s">
        <v>16</v>
      </c>
      <c r="I32" s="24" t="s">
        <v>16</v>
      </c>
    </row>
    <row r="34" spans="1:9" x14ac:dyDescent="0.25">
      <c r="A34" s="52" t="s">
        <v>544</v>
      </c>
      <c r="B34" s="52"/>
      <c r="C34" s="52"/>
      <c r="D34" s="52"/>
      <c r="E34" s="52"/>
      <c r="F34" s="52"/>
      <c r="G34" s="52"/>
      <c r="H34" s="52"/>
      <c r="I34" s="52"/>
    </row>
    <row r="35" spans="1:9" x14ac:dyDescent="0.25">
      <c r="A35" s="52" t="s">
        <v>545</v>
      </c>
      <c r="B35" s="52"/>
      <c r="C35" s="52"/>
      <c r="D35" s="52"/>
      <c r="E35" s="52"/>
      <c r="F35" s="52"/>
      <c r="G35" s="52"/>
      <c r="H35" s="52"/>
      <c r="I35" s="52"/>
    </row>
    <row r="36" spans="1:9" x14ac:dyDescent="0.25">
      <c r="A36" s="17" t="s">
        <v>546</v>
      </c>
      <c r="B36" s="17"/>
      <c r="C36" s="17"/>
      <c r="D36" s="17"/>
      <c r="E36" s="17"/>
      <c r="F36" s="17"/>
      <c r="G36" s="17"/>
      <c r="H36" s="17"/>
      <c r="I36" s="17"/>
    </row>
    <row r="37" spans="1:9" x14ac:dyDescent="0.25">
      <c r="A37" s="17" t="s">
        <v>547</v>
      </c>
      <c r="B37" s="17"/>
      <c r="C37" s="17"/>
      <c r="D37" s="17"/>
      <c r="E37" s="17"/>
      <c r="F37" s="17"/>
      <c r="G37" s="17"/>
      <c r="H37" s="17"/>
      <c r="I37" s="17"/>
    </row>
    <row r="38" spans="1:9" x14ac:dyDescent="0.25">
      <c r="A38" s="17" t="s">
        <v>548</v>
      </c>
      <c r="B38" s="17"/>
      <c r="C38" s="17"/>
      <c r="D38" s="17"/>
      <c r="E38" s="17"/>
      <c r="F38" s="17"/>
      <c r="G38" s="17"/>
      <c r="H38" s="17"/>
      <c r="I38" s="17"/>
    </row>
    <row r="39" spans="1:9" x14ac:dyDescent="0.25">
      <c r="A39" s="17" t="s">
        <v>549</v>
      </c>
      <c r="B39" s="17"/>
      <c r="C39" s="17"/>
      <c r="D39" s="17"/>
      <c r="E39" s="17"/>
      <c r="F39" s="17"/>
      <c r="G39" s="17"/>
      <c r="H39" s="17"/>
      <c r="I39" s="17"/>
    </row>
  </sheetData>
  <mergeCells count="7">
    <mergeCell ref="A1:I1"/>
    <mergeCell ref="A34:I34"/>
    <mergeCell ref="A35:I35"/>
    <mergeCell ref="A36:I36"/>
    <mergeCell ref="A37:I37"/>
    <mergeCell ref="A38:I38"/>
    <mergeCell ref="A39:I39"/>
  </mergeCells>
  <dataValidations count="2">
    <dataValidation type="list" allowBlank="1" sqref="I10:I31">
      <formula1>"未,済,一部"</formula1>
    </dataValidation>
    <dataValidation type="list" allowBlank="1" sqref="I3:I31">
      <formula1>"未,済,一部"</formula1>
    </dataValidation>
  </dataValidations>
  <hyperlinks>
    <hyperlink ref="H3" r:id="rId1"/>
    <hyperlink ref="H4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1" customWidth="1"/>
    <col min="4" max="4" width="40" customWidth="1"/>
  </cols>
  <sheetData>
    <row r="1" ht="24" customHeight="1" spans="1:4" x14ac:dyDescent="0.25">
      <c r="A1" s="14" t="s">
        <v>550</v>
      </c>
      <c r="B1" s="14"/>
      <c r="C1" s="14"/>
      <c r="D1" s="14"/>
    </row>
    <row r="2" spans="1:4" x14ac:dyDescent="0.25">
      <c r="A2" s="15" t="s">
        <v>129</v>
      </c>
      <c r="B2" s="15" t="s">
        <v>551</v>
      </c>
      <c r="C2" s="15" t="s">
        <v>552</v>
      </c>
      <c r="D2" s="15" t="s">
        <v>553</v>
      </c>
    </row>
    <row r="3" spans="1:4" x14ac:dyDescent="0.25">
      <c r="A3" s="31">
        <v>1</v>
      </c>
      <c r="B3" s="67" t="s">
        <v>168</v>
      </c>
      <c r="C3" s="68">
        <v>0</v>
      </c>
      <c r="D3" s="69" t="s">
        <v>554</v>
      </c>
    </row>
    <row r="4" spans="1:4" x14ac:dyDescent="0.25">
      <c r="A4" s="31">
        <v>2</v>
      </c>
      <c r="B4" s="67" t="s">
        <v>171</v>
      </c>
      <c r="C4" s="68">
        <v>0</v>
      </c>
      <c r="D4" s="69" t="s">
        <v>554</v>
      </c>
    </row>
    <row r="5" spans="1:4" x14ac:dyDescent="0.25">
      <c r="A5" s="31">
        <v>3</v>
      </c>
      <c r="B5" s="67" t="s">
        <v>173</v>
      </c>
      <c r="C5" s="68">
        <v>0</v>
      </c>
      <c r="D5" s="69" t="s">
        <v>554</v>
      </c>
    </row>
    <row r="6" spans="1:4" x14ac:dyDescent="0.25">
      <c r="A6" s="31">
        <v>4</v>
      </c>
      <c r="B6" s="67" t="s">
        <v>175</v>
      </c>
      <c r="C6" s="68">
        <v>0</v>
      </c>
      <c r="D6" s="69" t="s">
        <v>554</v>
      </c>
    </row>
    <row r="7" spans="1:4" x14ac:dyDescent="0.25">
      <c r="A7" s="31">
        <v>5</v>
      </c>
      <c r="B7" s="67" t="s">
        <v>177</v>
      </c>
      <c r="C7" s="68">
        <v>0</v>
      </c>
      <c r="D7" s="69" t="s">
        <v>554</v>
      </c>
    </row>
    <row r="8" spans="1:4" x14ac:dyDescent="0.25">
      <c r="A8" s="31">
        <v>6</v>
      </c>
      <c r="B8" s="67" t="s">
        <v>179</v>
      </c>
      <c r="C8" s="68">
        <v>0</v>
      </c>
      <c r="D8" s="69" t="s">
        <v>554</v>
      </c>
    </row>
    <row r="9" spans="1:4" x14ac:dyDescent="0.25">
      <c r="A9" s="31">
        <v>7</v>
      </c>
      <c r="B9" s="55" t="s">
        <v>555</v>
      </c>
      <c r="C9" s="68" t="s">
        <v>16</v>
      </c>
      <c r="D9" s="70" t="s">
        <v>556</v>
      </c>
    </row>
    <row r="10" spans="1:4" x14ac:dyDescent="0.25">
      <c r="A10" s="31">
        <v>8</v>
      </c>
      <c r="B10" s="55" t="s">
        <v>557</v>
      </c>
      <c r="C10" s="68" t="s">
        <v>16</v>
      </c>
      <c r="D10" s="70" t="s">
        <v>556</v>
      </c>
    </row>
    <row r="11" spans="1:4" x14ac:dyDescent="0.25">
      <c r="A11" s="31">
        <v>9</v>
      </c>
      <c r="B11" s="55" t="s">
        <v>558</v>
      </c>
      <c r="C11" s="68" t="s">
        <v>16</v>
      </c>
      <c r="D11" s="70" t="s">
        <v>556</v>
      </c>
    </row>
    <row r="12" spans="1:4" x14ac:dyDescent="0.25">
      <c r="A12" s="31">
        <v>10</v>
      </c>
      <c r="B12" s="55" t="s">
        <v>559</v>
      </c>
      <c r="C12" s="68">
        <v>28</v>
      </c>
      <c r="D12" s="70" t="s">
        <v>119</v>
      </c>
    </row>
    <row r="13" spans="1:4" x14ac:dyDescent="0.25">
      <c r="A13" s="31">
        <v>11</v>
      </c>
      <c r="B13" s="55" t="s">
        <v>560</v>
      </c>
      <c r="C13" s="68">
        <v>38</v>
      </c>
      <c r="D13" s="70" t="s">
        <v>119</v>
      </c>
    </row>
    <row r="14" spans="1:4" x14ac:dyDescent="0.25">
      <c r="A14" s="31">
        <v>12</v>
      </c>
      <c r="B14" s="55" t="s">
        <v>561</v>
      </c>
      <c r="C14" s="68">
        <v>18</v>
      </c>
      <c r="D14" s="70" t="s">
        <v>119</v>
      </c>
    </row>
    <row r="15" spans="1:4" x14ac:dyDescent="0.25">
      <c r="A15" s="31">
        <v>13</v>
      </c>
      <c r="B15" s="55" t="s">
        <v>562</v>
      </c>
      <c r="C15" s="68">
        <v>57</v>
      </c>
      <c r="D15" s="70" t="s">
        <v>119</v>
      </c>
    </row>
    <row r="16" spans="1:4" x14ac:dyDescent="0.25">
      <c r="A16" s="31">
        <v>14</v>
      </c>
      <c r="B16" s="55" t="s">
        <v>563</v>
      </c>
      <c r="C16" s="68">
        <v>66</v>
      </c>
      <c r="D16" s="70" t="s">
        <v>119</v>
      </c>
    </row>
    <row r="17" spans="1:4" x14ac:dyDescent="0.25">
      <c r="A17" s="31">
        <v>15</v>
      </c>
      <c r="B17" s="55" t="s">
        <v>199</v>
      </c>
      <c r="C17" s="68" t="s">
        <v>16</v>
      </c>
      <c r="D17" s="70" t="s">
        <v>556</v>
      </c>
    </row>
    <row r="18" spans="1:4" x14ac:dyDescent="0.25">
      <c r="A18" s="31">
        <v>16</v>
      </c>
      <c r="B18" s="55" t="s">
        <v>564</v>
      </c>
      <c r="C18" s="68">
        <v>22</v>
      </c>
      <c r="D18" s="70" t="s">
        <v>119</v>
      </c>
    </row>
    <row r="19" spans="1:4" x14ac:dyDescent="0.25">
      <c r="A19" s="31">
        <v>17</v>
      </c>
      <c r="B19" s="55" t="s">
        <v>565</v>
      </c>
      <c r="C19" s="68">
        <v>8</v>
      </c>
      <c r="D19" s="70" t="s">
        <v>119</v>
      </c>
    </row>
    <row r="20" spans="1:4" x14ac:dyDescent="0.25">
      <c r="A20" s="31">
        <v>18</v>
      </c>
      <c r="B20" s="55" t="s">
        <v>566</v>
      </c>
      <c r="C20" s="68">
        <v>32</v>
      </c>
      <c r="D20" s="70" t="s">
        <v>119</v>
      </c>
    </row>
    <row r="21" spans="1:4" x14ac:dyDescent="0.25">
      <c r="A21" s="31">
        <v>19</v>
      </c>
      <c r="B21" s="55" t="s">
        <v>567</v>
      </c>
      <c r="C21" s="68">
        <v>25</v>
      </c>
      <c r="D21" s="70" t="s">
        <v>119</v>
      </c>
    </row>
    <row r="22" spans="1:4" x14ac:dyDescent="0.25">
      <c r="A22" s="31">
        <v>20</v>
      </c>
      <c r="B22" s="55" t="s">
        <v>568</v>
      </c>
      <c r="C22" s="68" t="s">
        <v>16</v>
      </c>
      <c r="D22" s="70" t="s">
        <v>556</v>
      </c>
    </row>
    <row r="23" spans="1:4" x14ac:dyDescent="0.25">
      <c r="A23" s="31">
        <v>21</v>
      </c>
      <c r="B23" s="55" t="s">
        <v>569</v>
      </c>
      <c r="C23" s="68" t="s">
        <v>16</v>
      </c>
      <c r="D23" s="70" t="s">
        <v>556</v>
      </c>
    </row>
    <row r="24" spans="1:4" x14ac:dyDescent="0.25">
      <c r="A24" s="31">
        <v>22</v>
      </c>
      <c r="B24" s="55" t="s">
        <v>570</v>
      </c>
      <c r="C24" s="68" t="s">
        <v>16</v>
      </c>
      <c r="D24" s="70" t="s">
        <v>556</v>
      </c>
    </row>
    <row r="25" spans="1:4" x14ac:dyDescent="0.25">
      <c r="A25" s="31">
        <v>23</v>
      </c>
      <c r="B25" s="55" t="s">
        <v>571</v>
      </c>
      <c r="C25" s="68">
        <v>63</v>
      </c>
      <c r="D25" s="70" t="s">
        <v>119</v>
      </c>
    </row>
    <row r="26" spans="1:4" x14ac:dyDescent="0.25">
      <c r="A26" s="31">
        <v>24</v>
      </c>
      <c r="B26" s="55" t="s">
        <v>572</v>
      </c>
      <c r="C26" s="68">
        <v>10</v>
      </c>
      <c r="D26" s="70" t="s">
        <v>119</v>
      </c>
    </row>
    <row r="27" spans="1:4" x14ac:dyDescent="0.25">
      <c r="A27" s="31">
        <v>25</v>
      </c>
      <c r="B27" s="55" t="s">
        <v>573</v>
      </c>
      <c r="C27" s="68" t="s">
        <v>16</v>
      </c>
      <c r="D27" s="70" t="s">
        <v>556</v>
      </c>
    </row>
    <row r="28" spans="1:4" x14ac:dyDescent="0.25">
      <c r="A28" s="31">
        <v>26</v>
      </c>
      <c r="B28" s="55" t="s">
        <v>574</v>
      </c>
      <c r="C28" s="68">
        <v>14</v>
      </c>
      <c r="D28" s="70" t="s">
        <v>119</v>
      </c>
    </row>
    <row r="29" spans="1:4" x14ac:dyDescent="0.25">
      <c r="A29" s="31">
        <v>27</v>
      </c>
      <c r="B29" s="55" t="s">
        <v>575</v>
      </c>
      <c r="C29" s="68">
        <v>18</v>
      </c>
      <c r="D29" s="70" t="s">
        <v>119</v>
      </c>
    </row>
    <row r="30" spans="1:4" x14ac:dyDescent="0.25">
      <c r="A30" s="31">
        <v>28</v>
      </c>
      <c r="B30" s="55" t="s">
        <v>576</v>
      </c>
      <c r="C30" s="68">
        <v>22</v>
      </c>
      <c r="D30" s="70" t="s">
        <v>119</v>
      </c>
    </row>
    <row r="31" spans="1:4" x14ac:dyDescent="0.25">
      <c r="A31" s="31">
        <v>29</v>
      </c>
      <c r="B31" s="55" t="s">
        <v>577</v>
      </c>
      <c r="C31" s="68">
        <v>12</v>
      </c>
      <c r="D31" s="70" t="s">
        <v>119</v>
      </c>
    </row>
    <row r="32" spans="1:4" x14ac:dyDescent="0.25">
      <c r="A32" s="31">
        <v>30</v>
      </c>
      <c r="B32" s="55" t="s">
        <v>578</v>
      </c>
      <c r="C32" s="68">
        <v>16</v>
      </c>
      <c r="D32" s="70" t="s">
        <v>119</v>
      </c>
    </row>
    <row r="33" spans="1:4" x14ac:dyDescent="0.25">
      <c r="A33" s="31">
        <v>31</v>
      </c>
      <c r="B33" s="55" t="s">
        <v>579</v>
      </c>
      <c r="C33" s="68">
        <v>10</v>
      </c>
      <c r="D33" s="70" t="s">
        <v>119</v>
      </c>
    </row>
    <row r="34" spans="1:4" x14ac:dyDescent="0.25">
      <c r="A34" s="31">
        <v>32</v>
      </c>
      <c r="B34" s="55" t="s">
        <v>580</v>
      </c>
      <c r="C34" s="68">
        <v>14</v>
      </c>
      <c r="D34" s="70" t="s">
        <v>119</v>
      </c>
    </row>
    <row r="35" spans="1:4" x14ac:dyDescent="0.25">
      <c r="A35" s="31">
        <v>33</v>
      </c>
      <c r="B35" s="55" t="s">
        <v>581</v>
      </c>
      <c r="C35" s="68">
        <v>57</v>
      </c>
      <c r="D35" s="70" t="s">
        <v>119</v>
      </c>
    </row>
    <row r="36" spans="1:4" x14ac:dyDescent="0.25">
      <c r="A36" s="31">
        <v>34</v>
      </c>
      <c r="B36" s="55" t="s">
        <v>582</v>
      </c>
      <c r="C36" s="68">
        <v>16</v>
      </c>
      <c r="D36" s="70" t="s">
        <v>119</v>
      </c>
    </row>
    <row r="37" spans="1:4" x14ac:dyDescent="0.25">
      <c r="A37" s="31">
        <v>35</v>
      </c>
      <c r="B37" s="55" t="s">
        <v>583</v>
      </c>
      <c r="C37" s="68">
        <v>17</v>
      </c>
      <c r="D37" s="70" t="s">
        <v>119</v>
      </c>
    </row>
    <row r="38" spans="1:4" x14ac:dyDescent="0.25">
      <c r="A38" s="31">
        <v>36</v>
      </c>
      <c r="B38" s="55" t="s">
        <v>584</v>
      </c>
      <c r="C38" s="68">
        <v>9</v>
      </c>
      <c r="D38" s="70" t="s">
        <v>119</v>
      </c>
    </row>
    <row r="39" spans="1:4" x14ac:dyDescent="0.25">
      <c r="A39" s="31">
        <v>37</v>
      </c>
      <c r="B39" s="55" t="s">
        <v>585</v>
      </c>
      <c r="C39" s="68">
        <v>19</v>
      </c>
      <c r="D39" s="70" t="s">
        <v>119</v>
      </c>
    </row>
    <row r="40" spans="1:4" x14ac:dyDescent="0.25">
      <c r="A40" s="31">
        <v>38</v>
      </c>
      <c r="B40" s="55" t="s">
        <v>586</v>
      </c>
      <c r="C40" s="68">
        <v>9</v>
      </c>
      <c r="D40" s="70" t="s">
        <v>119</v>
      </c>
    </row>
    <row r="41" spans="1:4" x14ac:dyDescent="0.25">
      <c r="A41" s="31">
        <v>39</v>
      </c>
      <c r="B41" s="55" t="s">
        <v>587</v>
      </c>
      <c r="C41" s="68">
        <v>6</v>
      </c>
      <c r="D41" s="70" t="s">
        <v>119</v>
      </c>
    </row>
    <row r="42" spans="1:4" x14ac:dyDescent="0.25">
      <c r="A42" s="31">
        <v>40</v>
      </c>
      <c r="B42" s="55" t="s">
        <v>220</v>
      </c>
      <c r="C42" s="68">
        <v>11</v>
      </c>
      <c r="D42" s="70" t="s">
        <v>119</v>
      </c>
    </row>
    <row r="43" spans="1:4" x14ac:dyDescent="0.25">
      <c r="A43" s="31">
        <v>41</v>
      </c>
      <c r="B43" s="55" t="s">
        <v>588</v>
      </c>
      <c r="C43" s="68">
        <v>9</v>
      </c>
      <c r="D43" s="70" t="s">
        <v>119</v>
      </c>
    </row>
    <row r="44" spans="1:4" x14ac:dyDescent="0.25">
      <c r="A44" s="31">
        <v>42</v>
      </c>
      <c r="B44" s="55" t="s">
        <v>589</v>
      </c>
      <c r="C44" s="68">
        <v>16</v>
      </c>
      <c r="D44" s="70" t="s">
        <v>119</v>
      </c>
    </row>
    <row r="45" spans="1:4" x14ac:dyDescent="0.25">
      <c r="A45" s="31">
        <v>43</v>
      </c>
      <c r="B45" s="67" t="s">
        <v>590</v>
      </c>
      <c r="C45" s="68">
        <v>0</v>
      </c>
      <c r="D45" s="69" t="s">
        <v>591</v>
      </c>
    </row>
    <row r="46" spans="1:4" x14ac:dyDescent="0.25">
      <c r="A46" s="31">
        <v>44</v>
      </c>
      <c r="B46" s="55" t="s">
        <v>592</v>
      </c>
      <c r="C46" s="68">
        <v>27</v>
      </c>
      <c r="D46" s="70" t="s">
        <v>119</v>
      </c>
    </row>
    <row r="47" spans="1:4" x14ac:dyDescent="0.25">
      <c r="A47" s="31">
        <v>45</v>
      </c>
      <c r="B47" s="55" t="s">
        <v>209</v>
      </c>
      <c r="C47" s="68">
        <v>15</v>
      </c>
      <c r="D47" s="70" t="s">
        <v>119</v>
      </c>
    </row>
    <row r="48" spans="1:4" x14ac:dyDescent="0.25">
      <c r="A48" s="31">
        <v>46</v>
      </c>
      <c r="B48" s="55" t="s">
        <v>593</v>
      </c>
      <c r="C48" s="68">
        <v>8</v>
      </c>
      <c r="D48" s="70" t="s">
        <v>119</v>
      </c>
    </row>
    <row r="49" spans="1:4" x14ac:dyDescent="0.25">
      <c r="A49" s="31">
        <v>47</v>
      </c>
      <c r="B49" s="55" t="s">
        <v>594</v>
      </c>
      <c r="C49" s="68">
        <v>10</v>
      </c>
      <c r="D49" s="70" t="s">
        <v>119</v>
      </c>
    </row>
    <row r="50" spans="1:4" x14ac:dyDescent="0.25">
      <c r="A50" s="31">
        <v>48</v>
      </c>
      <c r="B50" s="55" t="s">
        <v>595</v>
      </c>
      <c r="C50" s="68">
        <v>4</v>
      </c>
      <c r="D50" s="70" t="s">
        <v>119</v>
      </c>
    </row>
    <row r="51" spans="1:4" x14ac:dyDescent="0.25">
      <c r="A51" s="31">
        <v>49</v>
      </c>
      <c r="B51" s="55" t="s">
        <v>596</v>
      </c>
      <c r="C51" s="68">
        <v>6</v>
      </c>
      <c r="D51" s="70" t="s">
        <v>119</v>
      </c>
    </row>
    <row r="52" spans="1:4" x14ac:dyDescent="0.25">
      <c r="A52" s="31">
        <v>50</v>
      </c>
      <c r="B52" s="55" t="s">
        <v>597</v>
      </c>
      <c r="C52" s="68">
        <v>10</v>
      </c>
      <c r="D52" s="70" t="s">
        <v>119</v>
      </c>
    </row>
    <row r="53" spans="1:4" x14ac:dyDescent="0.25">
      <c r="A53" s="31">
        <v>51</v>
      </c>
      <c r="B53" s="55" t="s">
        <v>598</v>
      </c>
      <c r="C53" s="68">
        <v>10</v>
      </c>
      <c r="D53" s="70" t="s">
        <v>119</v>
      </c>
    </row>
    <row r="54" spans="1:4" x14ac:dyDescent="0.25">
      <c r="A54" s="31">
        <v>52</v>
      </c>
      <c r="B54" s="55" t="s">
        <v>599</v>
      </c>
      <c r="C54" s="68">
        <v>36</v>
      </c>
      <c r="D54" s="70" t="s">
        <v>119</v>
      </c>
    </row>
    <row r="55" spans="1:4" x14ac:dyDescent="0.25">
      <c r="A55" s="31">
        <v>53</v>
      </c>
      <c r="B55" s="55" t="s">
        <v>600</v>
      </c>
      <c r="C55" s="68">
        <v>30</v>
      </c>
      <c r="D55" s="70" t="s">
        <v>119</v>
      </c>
    </row>
    <row r="56" spans="1:4" x14ac:dyDescent="0.25">
      <c r="A56" s="31">
        <v>54</v>
      </c>
      <c r="B56" s="55" t="s">
        <v>601</v>
      </c>
      <c r="C56" s="68">
        <v>21</v>
      </c>
      <c r="D56" s="70" t="s">
        <v>119</v>
      </c>
    </row>
    <row r="57" spans="1:4" x14ac:dyDescent="0.25">
      <c r="A57" s="31">
        <v>55</v>
      </c>
      <c r="B57" s="55" t="s">
        <v>602</v>
      </c>
      <c r="C57" s="68">
        <v>15</v>
      </c>
      <c r="D57" s="70" t="s">
        <v>119</v>
      </c>
    </row>
    <row r="58" spans="1:4" x14ac:dyDescent="0.25">
      <c r="A58" s="31">
        <v>56</v>
      </c>
      <c r="B58" s="55" t="s">
        <v>603</v>
      </c>
      <c r="C58" s="68">
        <v>10</v>
      </c>
      <c r="D58" s="70" t="s">
        <v>119</v>
      </c>
    </row>
    <row r="59" spans="1:4" x14ac:dyDescent="0.25">
      <c r="A59" s="31">
        <v>57</v>
      </c>
      <c r="B59" s="55" t="s">
        <v>604</v>
      </c>
      <c r="C59" s="68">
        <v>20</v>
      </c>
      <c r="D59" s="70" t="s">
        <v>119</v>
      </c>
    </row>
    <row r="60" spans="1:4" x14ac:dyDescent="0.25">
      <c r="A60" s="31">
        <v>58</v>
      </c>
      <c r="B60" s="55" t="s">
        <v>605</v>
      </c>
      <c r="C60" s="68">
        <v>10</v>
      </c>
      <c r="D60" s="70" t="s">
        <v>119</v>
      </c>
    </row>
    <row r="61" spans="1:4" x14ac:dyDescent="0.25">
      <c r="A61" s="31">
        <v>59</v>
      </c>
      <c r="B61" s="55" t="s">
        <v>606</v>
      </c>
      <c r="C61" s="68">
        <v>11</v>
      </c>
      <c r="D61" s="70" t="s">
        <v>119</v>
      </c>
    </row>
    <row r="62" spans="1:4" x14ac:dyDescent="0.25">
      <c r="A62" s="31">
        <v>60</v>
      </c>
      <c r="B62" s="55" t="s">
        <v>607</v>
      </c>
      <c r="C62" s="68">
        <v>9</v>
      </c>
      <c r="D62" s="70" t="s">
        <v>119</v>
      </c>
    </row>
    <row r="63" spans="1:4" x14ac:dyDescent="0.25">
      <c r="A63" s="31">
        <v>61</v>
      </c>
      <c r="B63" s="67" t="s">
        <v>608</v>
      </c>
      <c r="C63" s="68">
        <v>0</v>
      </c>
      <c r="D63" s="69" t="s">
        <v>591</v>
      </c>
    </row>
    <row r="64" spans="1:4" x14ac:dyDescent="0.25">
      <c r="A64" s="31">
        <v>62</v>
      </c>
      <c r="B64" s="55" t="s">
        <v>609</v>
      </c>
      <c r="C64" s="68">
        <v>3</v>
      </c>
      <c r="D64" s="70" t="s">
        <v>119</v>
      </c>
    </row>
    <row r="65" spans="1:4" x14ac:dyDescent="0.25">
      <c r="A65" s="31">
        <v>63</v>
      </c>
      <c r="B65" s="55" t="s">
        <v>610</v>
      </c>
      <c r="C65" s="68">
        <v>18</v>
      </c>
      <c r="D65" s="70" t="s">
        <v>119</v>
      </c>
    </row>
    <row r="66" spans="1:4" x14ac:dyDescent="0.25">
      <c r="A66" s="31">
        <v>64</v>
      </c>
      <c r="B66" s="55" t="s">
        <v>611</v>
      </c>
      <c r="C66" s="68">
        <v>9</v>
      </c>
      <c r="D66" s="70" t="s">
        <v>119</v>
      </c>
    </row>
    <row r="67" spans="1:4" x14ac:dyDescent="0.25">
      <c r="A67" s="31">
        <v>65</v>
      </c>
      <c r="B67" s="55" t="s">
        <v>612</v>
      </c>
      <c r="C67" s="68">
        <v>24</v>
      </c>
      <c r="D67" s="70" t="s">
        <v>119</v>
      </c>
    </row>
    <row r="68" spans="1:4" x14ac:dyDescent="0.25">
      <c r="A68" s="31">
        <v>66</v>
      </c>
      <c r="B68" s="55" t="s">
        <v>613</v>
      </c>
      <c r="C68" s="68" t="s">
        <v>16</v>
      </c>
      <c r="D68" s="70" t="s">
        <v>614</v>
      </c>
    </row>
    <row r="69" spans="1:4" x14ac:dyDescent="0.25">
      <c r="A69" s="31">
        <v>67</v>
      </c>
      <c r="B69" s="55" t="s">
        <v>615</v>
      </c>
      <c r="C69" s="68" t="s">
        <v>16</v>
      </c>
      <c r="D69" s="70" t="s">
        <v>556</v>
      </c>
    </row>
    <row r="70" spans="1:4" x14ac:dyDescent="0.25">
      <c r="A70" s="31">
        <v>68</v>
      </c>
      <c r="B70" s="55" t="s">
        <v>616</v>
      </c>
      <c r="C70" s="68" t="s">
        <v>16</v>
      </c>
      <c r="D70" s="70" t="s">
        <v>556</v>
      </c>
    </row>
    <row r="71" spans="1:4" x14ac:dyDescent="0.25">
      <c r="A71" s="24" t="s">
        <v>16</v>
      </c>
      <c r="B71" s="24" t="s">
        <v>617</v>
      </c>
      <c r="C71" s="50">
        <f>SUM(C3:C70)</f>
      </c>
      <c r="D71" s="24" t="s">
        <v>618</v>
      </c>
    </row>
    <row r="73" spans="1:4" x14ac:dyDescent="0.25">
      <c r="A73" s="52" t="s">
        <v>619</v>
      </c>
      <c r="B73" s="52"/>
      <c r="C73" s="52"/>
      <c r="D73" s="52"/>
    </row>
    <row r="74" spans="1:4" x14ac:dyDescent="0.25">
      <c r="A74" s="17" t="s">
        <v>620</v>
      </c>
      <c r="B74" s="17"/>
      <c r="C74" s="17"/>
      <c r="D74" s="17"/>
    </row>
    <row r="75" spans="1:4" x14ac:dyDescent="0.25">
      <c r="A75" s="17" t="s">
        <v>621</v>
      </c>
      <c r="B75" s="17"/>
      <c r="C75" s="17"/>
      <c r="D75" s="17"/>
    </row>
    <row r="76" spans="1:4" x14ac:dyDescent="0.25">
      <c r="A76" s="17" t="s">
        <v>622</v>
      </c>
      <c r="B76" s="17"/>
      <c r="C76" s="17"/>
      <c r="D76" s="17"/>
    </row>
    <row r="77" spans="1:4" x14ac:dyDescent="0.25">
      <c r="A77" s="17" t="s">
        <v>623</v>
      </c>
      <c r="B77" s="17"/>
      <c r="C77" s="17"/>
      <c r="D77" s="17"/>
    </row>
  </sheetData>
  <mergeCells count="6">
    <mergeCell ref="A1:D1"/>
    <mergeCell ref="A73:D73"/>
    <mergeCell ref="A74:D74"/>
    <mergeCell ref="A75:D75"/>
    <mergeCell ref="A76:D76"/>
    <mergeCell ref="A77:D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配布管理</vt:lpstr>
      <vt:lpstr>進捗サマリ</vt:lpstr>
      <vt:lpstr>店舗マスタ17店</vt:lpstr>
      <vt:lpstr>建物リスト投函向け</vt:lpstr>
      <vt:lpstr>配布計画3000枚</vt:lpstr>
      <vt:lpstr>今日2000枚_重点店舗</vt:lpstr>
      <vt:lpstr>残り1000枚</vt:lpstr>
      <vt:lpstr>昨日の配布実績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2026-06-03T11:59:36Z</dcterms:created>
  <dcterms:modified xsi:type="dcterms:W3CDTF">2026-06-03T11:59:36Z</dcterms:modified>
</cp:coreProperties>
</file>